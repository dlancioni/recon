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CoutinhoLancion\dev\recon\etc\"/>
    </mc:Choice>
  </mc:AlternateContent>
  <xr:revisionPtr revIDLastSave="0" documentId="13_ncr:1_{38CB80A3-58F4-45D8-B047-986DBB0878FF}" xr6:coauthVersionLast="47" xr6:coauthVersionMax="47" xr10:uidLastSave="{00000000-0000-0000-0000-000000000000}"/>
  <bookViews>
    <workbookView xWindow="-110" yWindow="-110" windowWidth="19420" windowHeight="11500" activeTab="1" xr2:uid="{11998C33-878F-49E3-B233-4426F0BEE458}"/>
  </bookViews>
  <sheets>
    <sheet name="Input" sheetId="1" r:id="rId1"/>
    <sheet name="Field Def" sheetId="2" r:id="rId2"/>
    <sheet name="Recon Def" sheetId="3" r:id="rId3"/>
  </sheets>
  <functionGroups builtInGroupCount="19"/>
  <definedNames>
    <definedName name="_xlnm._FilterDatabase" localSheetId="1" hidden="1">'Field Def'!$B$3:$D$89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" l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B5" i="2"/>
  <c r="B6" i="2" s="1"/>
  <c r="B7" i="2" s="1"/>
  <c r="B8" i="2" s="1"/>
  <c r="B9" i="2" s="1"/>
  <c r="B10" i="2" s="1"/>
  <c r="B11" i="2" s="1"/>
  <c r="B12" i="2" s="1"/>
  <c r="B13" i="2" s="1"/>
  <c r="B14" i="2" s="1"/>
  <c r="E85" i="2" a="1"/>
  <c r="E57" i="2" a="1"/>
  <c r="E49" i="2" a="1"/>
  <c r="E41" i="2" a="1"/>
  <c r="E33" i="2" a="1"/>
  <c r="E29" i="2" a="1"/>
  <c r="E21" i="2" a="1"/>
  <c r="E87" i="2" a="1"/>
  <c r="E71" i="2" a="1"/>
  <c r="E51" i="2" a="1"/>
  <c r="E35" i="2" a="1"/>
  <c r="E23" i="2" a="1"/>
  <c r="E78" i="2" a="1"/>
  <c r="E62" i="2" a="1"/>
  <c r="E50" i="2" a="1"/>
  <c r="E34" i="2" a="1"/>
  <c r="E18" i="2" a="1"/>
  <c r="E81" i="2" a="1"/>
  <c r="E77" i="2" a="1"/>
  <c r="E73" i="2" a="1"/>
  <c r="E69" i="2" a="1"/>
  <c r="E65" i="2" a="1"/>
  <c r="E61" i="2" a="1"/>
  <c r="E53" i="2" a="1"/>
  <c r="E45" i="2" a="1"/>
  <c r="E37" i="2" a="1"/>
  <c r="E25" i="2" a="1"/>
  <c r="E75" i="2" a="1"/>
  <c r="E63" i="2" a="1"/>
  <c r="E43" i="2" a="1"/>
  <c r="E27" i="2" a="1"/>
  <c r="E82" i="2" a="1"/>
  <c r="E70" i="2" a="1"/>
  <c r="E54" i="2" a="1"/>
  <c r="E38" i="2" a="1"/>
  <c r="E22" i="2" a="1"/>
  <c r="E84" i="2" a="1"/>
  <c r="E56" i="2" a="1"/>
  <c r="E44" i="2" a="1"/>
  <c r="E36" i="2" a="1"/>
  <c r="E24" i="2" a="1"/>
  <c r="E79" i="2" a="1"/>
  <c r="E67" i="2" a="1"/>
  <c r="E55" i="2" a="1"/>
  <c r="E39" i="2" a="1"/>
  <c r="E19" i="2" a="1"/>
  <c r="E66" i="2" a="1"/>
  <c r="E46" i="2" a="1"/>
  <c r="E30" i="2" a="1"/>
  <c r="E88" i="2" a="1"/>
  <c r="E80" i="2" a="1"/>
  <c r="E76" i="2" a="1"/>
  <c r="E72" i="2" a="1"/>
  <c r="E68" i="2" a="1"/>
  <c r="E64" i="2" a="1"/>
  <c r="E60" i="2" a="1"/>
  <c r="E52" i="2" a="1"/>
  <c r="E48" i="2" a="1"/>
  <c r="E40" i="2" a="1"/>
  <c r="E32" i="2" a="1"/>
  <c r="E28" i="2" a="1"/>
  <c r="E20" i="2" a="1"/>
  <c r="E83" i="2" a="1"/>
  <c r="E59" i="2" a="1"/>
  <c r="E47" i="2" a="1"/>
  <c r="E31" i="2" a="1"/>
  <c r="E86" i="2" a="1"/>
  <c r="E58" i="2" a="1"/>
  <c r="E42" i="2" a="1"/>
  <c r="E26" i="2" a="1"/>
  <c r="E74" i="2" a="1"/>
  <c r="E16" i="2" a="1"/>
  <c r="E14" i="2" a="1"/>
  <c r="E7" i="2" a="1"/>
  <c r="E6" i="2" a="1"/>
  <c r="E8" i="2" a="1"/>
  <c r="E12" i="2" a="1"/>
  <c r="E4" i="2" a="1"/>
  <c r="E11" i="2" a="1"/>
  <c r="E10" i="2" a="1"/>
  <c r="E13" i="2" a="1"/>
  <c r="E17" i="2" a="1"/>
  <c r="E5" i="2" a="1"/>
  <c r="E15" i="2" a="1"/>
  <c r="E9" i="2" a="1"/>
  <c r="K41" i="2" a="1"/>
  <c r="K71" i="2" a="1"/>
  <c r="K8" i="2" a="1"/>
  <c r="K53" i="2" a="1"/>
  <c r="K24" i="2" a="1"/>
  <c r="K42" i="2" a="1"/>
  <c r="K20" i="2" a="1"/>
  <c r="K88" i="2" a="1"/>
  <c r="K63" i="2" a="1"/>
  <c r="K74" i="2" a="1"/>
  <c r="K66" i="2" a="1"/>
  <c r="K81" i="2" a="1"/>
  <c r="K76" i="2" a="1"/>
  <c r="K37" i="2" a="1"/>
  <c r="K4" i="2" a="1"/>
  <c r="K29" i="2" a="1"/>
  <c r="K59" i="2" a="1"/>
  <c r="K85" i="2" a="1"/>
  <c r="K49" i="2" a="1"/>
  <c r="K10" i="2" a="1"/>
  <c r="K84" i="2" a="1"/>
  <c r="K79" i="2" a="1"/>
  <c r="K80" i="2" a="1"/>
  <c r="K27" i="2" a="1"/>
  <c r="K62" i="2" a="1"/>
  <c r="K46" i="2" a="1"/>
  <c r="K43" i="2" a="1"/>
  <c r="K38" i="2" a="1"/>
  <c r="K50" i="2" a="1"/>
  <c r="K21" i="2" a="1"/>
  <c r="K40" i="2" a="1"/>
  <c r="K5" i="2" a="1"/>
  <c r="K69" i="2" a="1"/>
  <c r="K33" i="2" a="1"/>
  <c r="K35" i="2" a="1"/>
  <c r="K56" i="2" a="1"/>
  <c r="K31" i="2" a="1"/>
  <c r="K60" i="2" a="1"/>
  <c r="K26" i="2" a="1"/>
  <c r="K87" i="2" a="1"/>
  <c r="K72" i="2" a="1"/>
  <c r="K11" i="2" a="1"/>
  <c r="K68" i="2" a="1"/>
  <c r="K28" i="2" a="1"/>
  <c r="K82" i="2" a="1"/>
  <c r="K65" i="2" a="1"/>
  <c r="K25" i="2" a="1"/>
  <c r="K15" i="2" a="1"/>
  <c r="K52" i="2" a="1"/>
  <c r="K13" i="2" a="1"/>
  <c r="K48" i="2" a="1"/>
  <c r="K83" i="2" a="1"/>
  <c r="K47" i="2" a="1"/>
  <c r="K67" i="2" a="1"/>
  <c r="K22" i="2" a="1"/>
  <c r="K73" i="2" a="1"/>
  <c r="K51" i="2" a="1"/>
  <c r="K16" i="2" a="1"/>
  <c r="K54" i="2" a="1"/>
  <c r="K61" i="2" a="1"/>
  <c r="K17" i="2" a="1"/>
  <c r="K78" i="2" a="1"/>
  <c r="K44" i="2" a="1"/>
  <c r="K34" i="2" a="1"/>
  <c r="K32" i="2" a="1"/>
  <c r="K39" i="2" a="1"/>
  <c r="K19" i="2" a="1"/>
  <c r="K75" i="2" a="1"/>
  <c r="K64" i="2" a="1"/>
  <c r="K77" i="2" a="1"/>
  <c r="K6" i="2" a="1"/>
  <c r="K30" i="2" a="1"/>
  <c r="K57" i="2" a="1"/>
  <c r="K7" i="2" a="1"/>
  <c r="K58" i="2" a="1"/>
  <c r="K36" i="2" a="1"/>
  <c r="K12" i="2" a="1"/>
  <c r="K14" i="2" a="1"/>
  <c r="K9" i="2" a="1"/>
  <c r="K86" i="2" a="1"/>
  <c r="K45" i="2" a="1"/>
  <c r="K70" i="2" a="1"/>
  <c r="K23" i="2" a="1"/>
  <c r="K55" i="2" a="1"/>
  <c r="K18" i="2" a="1"/>
  <c r="K22" i="2" l="1"/>
  <c r="K46" i="2"/>
  <c r="K66" i="2"/>
  <c r="K86" i="2"/>
  <c r="K19" i="2"/>
  <c r="K47" i="2"/>
  <c r="K87" i="2"/>
  <c r="K18" i="2"/>
  <c r="K38" i="2"/>
  <c r="K62" i="2"/>
  <c r="K74" i="2"/>
  <c r="K9" i="2"/>
  <c r="K39" i="2"/>
  <c r="K83" i="2"/>
  <c r="K26" i="2"/>
  <c r="K50" i="2"/>
  <c r="K70" i="2"/>
  <c r="K27" i="2"/>
  <c r="K63" i="2"/>
  <c r="K14" i="2"/>
  <c r="K32" i="2"/>
  <c r="K48" i="2"/>
  <c r="K60" i="2"/>
  <c r="K68" i="2"/>
  <c r="K76" i="2"/>
  <c r="K80" i="2"/>
  <c r="K88" i="2"/>
  <c r="K12" i="2"/>
  <c r="K34" i="2"/>
  <c r="K13" i="2"/>
  <c r="K31" i="2"/>
  <c r="K51" i="2"/>
  <c r="K67" i="2"/>
  <c r="K79" i="2"/>
  <c r="K20" i="2"/>
  <c r="K36" i="2"/>
  <c r="K44" i="2"/>
  <c r="K52" i="2"/>
  <c r="K56" i="2"/>
  <c r="K64" i="2"/>
  <c r="K72" i="2"/>
  <c r="K84" i="2"/>
  <c r="K42" i="2"/>
  <c r="K58" i="2"/>
  <c r="K78" i="2"/>
  <c r="K15" i="2"/>
  <c r="K35" i="2"/>
  <c r="K55" i="2"/>
  <c r="K75" i="2"/>
  <c r="K10" i="2"/>
  <c r="K24" i="2"/>
  <c r="K7" i="2"/>
  <c r="K17" i="2"/>
  <c r="K25" i="2"/>
  <c r="K33" i="2"/>
  <c r="K37" i="2"/>
  <c r="K45" i="2"/>
  <c r="K49" i="2"/>
  <c r="K53" i="2"/>
  <c r="K57" i="2"/>
  <c r="K61" i="2"/>
  <c r="K65" i="2"/>
  <c r="K69" i="2"/>
  <c r="K73" i="2"/>
  <c r="K81" i="2"/>
  <c r="K85" i="2"/>
  <c r="K8" i="2"/>
  <c r="K30" i="2"/>
  <c r="K54" i="2"/>
  <c r="K82" i="2"/>
  <c r="K5" i="2"/>
  <c r="K23" i="2"/>
  <c r="K43" i="2"/>
  <c r="K59" i="2"/>
  <c r="K71" i="2"/>
  <c r="K6" i="2"/>
  <c r="K16" i="2"/>
  <c r="K28" i="2"/>
  <c r="K40" i="2"/>
  <c r="K11" i="2"/>
  <c r="K21" i="2"/>
  <c r="K29" i="2"/>
  <c r="K41" i="2"/>
  <c r="K77" i="2"/>
  <c r="K4" i="2"/>
  <c r="E74" i="2"/>
  <c r="E26" i="2"/>
  <c r="E42" i="2"/>
  <c r="E58" i="2"/>
  <c r="E86" i="2"/>
  <c r="E9" i="2"/>
  <c r="E31" i="2"/>
  <c r="E47" i="2"/>
  <c r="E59" i="2"/>
  <c r="E83" i="2"/>
  <c r="E14" i="2"/>
  <c r="E20" i="2"/>
  <c r="E28" i="2"/>
  <c r="E32" i="2"/>
  <c r="E40" i="2"/>
  <c r="E48" i="2"/>
  <c r="E52" i="2"/>
  <c r="E60" i="2"/>
  <c r="E64" i="2"/>
  <c r="E68" i="2"/>
  <c r="E72" i="2"/>
  <c r="E76" i="2"/>
  <c r="E80" i="2"/>
  <c r="E88" i="2"/>
  <c r="E30" i="2"/>
  <c r="E46" i="2"/>
  <c r="E66" i="2"/>
  <c r="E5" i="2"/>
  <c r="E19" i="2"/>
  <c r="E39" i="2"/>
  <c r="E55" i="2"/>
  <c r="E67" i="2"/>
  <c r="E79" i="2"/>
  <c r="E6" i="2"/>
  <c r="E16" i="2"/>
  <c r="E24" i="2"/>
  <c r="E36" i="2"/>
  <c r="E44" i="2"/>
  <c r="E56" i="2"/>
  <c r="E84" i="2"/>
  <c r="E8" i="2"/>
  <c r="E22" i="2"/>
  <c r="E38" i="2"/>
  <c r="E54" i="2"/>
  <c r="E70" i="2"/>
  <c r="E82" i="2"/>
  <c r="E13" i="2"/>
  <c r="E27" i="2"/>
  <c r="E43" i="2"/>
  <c r="E63" i="2"/>
  <c r="E75" i="2"/>
  <c r="E7" i="2"/>
  <c r="E17" i="2"/>
  <c r="E25" i="2"/>
  <c r="E37" i="2"/>
  <c r="E45" i="2"/>
  <c r="E53" i="2"/>
  <c r="E61" i="2"/>
  <c r="E65" i="2"/>
  <c r="E69" i="2"/>
  <c r="E73" i="2"/>
  <c r="E77" i="2"/>
  <c r="E81" i="2"/>
  <c r="E12" i="2"/>
  <c r="E18" i="2"/>
  <c r="E34" i="2"/>
  <c r="E50" i="2"/>
  <c r="E62" i="2"/>
  <c r="E78" i="2"/>
  <c r="E15" i="2"/>
  <c r="E23" i="2"/>
  <c r="E35" i="2"/>
  <c r="E51" i="2"/>
  <c r="E71" i="2"/>
  <c r="E87" i="2"/>
  <c r="E10" i="2"/>
  <c r="E11" i="2"/>
  <c r="E21" i="2"/>
  <c r="E29" i="2"/>
  <c r="E33" i="2"/>
  <c r="E41" i="2"/>
  <c r="E49" i="2"/>
  <c r="E57" i="2"/>
  <c r="E85" i="2"/>
  <c r="E4" i="2"/>
  <c r="I43" i="2" a="1"/>
  <c r="I46" i="2" a="1"/>
  <c r="I58" i="2" a="1"/>
  <c r="I71" i="2" a="1"/>
  <c r="I80" i="2" a="1"/>
  <c r="I69" i="2" a="1"/>
  <c r="I38" i="2" a="1"/>
  <c r="I10" i="2" a="1"/>
  <c r="I59" i="2" a="1"/>
  <c r="I78" i="2" a="1"/>
  <c r="I6" i="2" a="1"/>
  <c r="I20" i="2" a="1"/>
  <c r="I41" i="2" a="1"/>
  <c r="I44" i="2" a="1"/>
  <c r="I76" i="2" a="1"/>
  <c r="I86" i="2" a="1"/>
  <c r="I39" i="2" a="1"/>
  <c r="I45" i="2" a="1"/>
  <c r="I26" i="2" a="1"/>
  <c r="I22" i="2" a="1"/>
  <c r="I68" i="2" a="1"/>
  <c r="I28" i="2" a="1"/>
  <c r="I25" i="2" a="1"/>
  <c r="I17" i="2" a="1"/>
  <c r="I85" i="2" a="1"/>
  <c r="I81" i="2" a="1"/>
  <c r="I37" i="2" a="1"/>
  <c r="I65" i="2" a="1"/>
  <c r="I49" i="2" a="1"/>
  <c r="I5" i="2" a="1"/>
  <c r="I53" i="2" a="1"/>
  <c r="I13" i="2" a="1"/>
  <c r="I72" i="2" a="1"/>
  <c r="I9" i="2" a="1"/>
  <c r="I62" i="2" a="1"/>
  <c r="I23" i="2" a="1"/>
  <c r="I12" i="2" a="1"/>
  <c r="I83" i="2" a="1"/>
  <c r="I35" i="2" a="1"/>
  <c r="I63" i="2" a="1"/>
  <c r="I66" i="2" a="1"/>
  <c r="I54" i="2" a="1"/>
  <c r="I11" i="2" a="1"/>
  <c r="I31" i="2" a="1"/>
  <c r="I24" i="2" a="1"/>
  <c r="I48" i="2" a="1"/>
  <c r="I32" i="2" a="1"/>
  <c r="I27" i="2" a="1"/>
  <c r="I7" i="2" a="1"/>
  <c r="I36" i="2" a="1"/>
  <c r="I51" i="2" a="1"/>
  <c r="I55" i="2" a="1"/>
  <c r="I19" i="2" a="1"/>
  <c r="I60" i="2" a="1"/>
  <c r="I29" i="2" a="1"/>
  <c r="I61" i="2" a="1"/>
  <c r="I16" i="2" a="1"/>
  <c r="I87" i="2" a="1"/>
  <c r="I47" i="2" a="1"/>
  <c r="I77" i="2" a="1"/>
  <c r="I74" i="2" a="1"/>
  <c r="I21" i="2" a="1"/>
  <c r="I40" i="2" a="1"/>
  <c r="I30" i="2" a="1"/>
  <c r="I42" i="2" a="1"/>
  <c r="I18" i="2" a="1"/>
  <c r="I75" i="2" a="1"/>
  <c r="I70" i="2" a="1"/>
  <c r="I56" i="2" a="1"/>
  <c r="I88" i="2" a="1"/>
  <c r="I50" i="2" a="1"/>
  <c r="I67" i="2" a="1"/>
  <c r="I73" i="2" a="1"/>
  <c r="I84" i="2" a="1"/>
  <c r="I14" i="2" a="1"/>
  <c r="I52" i="2" a="1"/>
  <c r="I4" i="2" a="1"/>
  <c r="I82" i="2" a="1"/>
  <c r="I79" i="2" a="1"/>
  <c r="I8" i="2" a="1"/>
  <c r="I64" i="2" a="1"/>
  <c r="I33" i="2" a="1"/>
  <c r="I34" i="2" a="1"/>
  <c r="I57" i="2" a="1"/>
  <c r="I15" i="2" a="1"/>
  <c r="I84" i="2" l="1"/>
  <c r="I37" i="2"/>
  <c r="I27" i="2"/>
  <c r="I81" i="2"/>
  <c r="I13" i="2"/>
  <c r="I78" i="2"/>
  <c r="I82" i="2"/>
  <c r="I40" i="2"/>
  <c r="I73" i="2"/>
  <c r="I36" i="2"/>
  <c r="I32" i="2"/>
  <c r="I9" i="2"/>
  <c r="I45" i="2"/>
  <c r="I59" i="2"/>
  <c r="I15" i="2"/>
  <c r="I55" i="2"/>
  <c r="I67" i="2"/>
  <c r="I74" i="2"/>
  <c r="I48" i="2"/>
  <c r="I85" i="2"/>
  <c r="I39" i="2"/>
  <c r="I10" i="2"/>
  <c r="I19" i="2"/>
  <c r="I49" i="2"/>
  <c r="I50" i="2"/>
  <c r="I7" i="2"/>
  <c r="I24" i="2"/>
  <c r="I72" i="2"/>
  <c r="I86" i="2"/>
  <c r="I38" i="2"/>
  <c r="I23" i="2"/>
  <c r="I52" i="2"/>
  <c r="I88" i="2"/>
  <c r="I77" i="2"/>
  <c r="I31" i="2"/>
  <c r="I17" i="2"/>
  <c r="I76" i="2"/>
  <c r="I69" i="2"/>
  <c r="I5" i="2"/>
  <c r="I21" i="2"/>
  <c r="I56" i="2"/>
  <c r="I47" i="2"/>
  <c r="I11" i="2"/>
  <c r="I25" i="2"/>
  <c r="I44" i="2"/>
  <c r="I80" i="2"/>
  <c r="I57" i="2"/>
  <c r="I62" i="2"/>
  <c r="I70" i="2"/>
  <c r="I87" i="2"/>
  <c r="I54" i="2"/>
  <c r="I28" i="2"/>
  <c r="I41" i="2"/>
  <c r="I71" i="2"/>
  <c r="I34" i="2"/>
  <c r="I65" i="2"/>
  <c r="I75" i="2"/>
  <c r="I16" i="2"/>
  <c r="I66" i="2"/>
  <c r="I68" i="2"/>
  <c r="I20" i="2"/>
  <c r="I58" i="2"/>
  <c r="I33" i="2"/>
  <c r="I51" i="2"/>
  <c r="I18" i="2"/>
  <c r="I61" i="2"/>
  <c r="I63" i="2"/>
  <c r="I22" i="2"/>
  <c r="I6" i="2"/>
  <c r="I46" i="2"/>
  <c r="I64" i="2"/>
  <c r="I14" i="2"/>
  <c r="I42" i="2"/>
  <c r="I29" i="2"/>
  <c r="I35" i="2"/>
  <c r="I12" i="2"/>
  <c r="I53" i="2"/>
  <c r="I43" i="2"/>
  <c r="I8" i="2"/>
  <c r="I79" i="2"/>
  <c r="I30" i="2"/>
  <c r="I60" i="2"/>
  <c r="I83" i="2"/>
  <c r="I26" i="2"/>
  <c r="I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<sst xmlns="http://schemas.openxmlformats.org/spreadsheetml/2006/main" count="126" uniqueCount="37">
  <si>
    <t>x</t>
  </si>
  <si>
    <t>Id</t>
  </si>
  <si>
    <t>Field Name</t>
  </si>
  <si>
    <t xml:space="preserve">select     </t>
  </si>
  <si>
    <t xml:space="preserve">column_name as 'Column Name', </t>
  </si>
  <si>
    <t>data_type as 'Data Type'</t>
  </si>
  <si>
    <t>FROM information_schema.columns</t>
  </si>
  <si>
    <t>where 1=1</t>
  </si>
  <si>
    <t>and table_name = 'program'</t>
  </si>
  <si>
    <t>Query to get fields</t>
  </si>
  <si>
    <t>varchar</t>
  </si>
  <si>
    <t>int</t>
  </si>
  <si>
    <t>date</t>
  </si>
  <si>
    <t>float</t>
  </si>
  <si>
    <t>bit</t>
  </si>
  <si>
    <t>decimal</t>
  </si>
  <si>
    <t>smallint</t>
  </si>
  <si>
    <t>Field Type</t>
  </si>
  <si>
    <t>Data Type</t>
  </si>
  <si>
    <t>Field Mapping</t>
  </si>
  <si>
    <t>Recon Rule</t>
  </si>
  <si>
    <t>are greater than existing fields</t>
  </si>
  <si>
    <t>Field List</t>
  </si>
  <si>
    <t>PO Number</t>
  </si>
  <si>
    <t>Currency</t>
  </si>
  <si>
    <t>PO Amount</t>
  </si>
  <si>
    <t>Document Date</t>
  </si>
  <si>
    <t>Download Date</t>
  </si>
  <si>
    <t>SO Number</t>
  </si>
  <si>
    <t>Buyer External ID</t>
  </si>
  <si>
    <t>Vendor External ID</t>
  </si>
  <si>
    <t>Program</t>
  </si>
  <si>
    <t>Limit Status</t>
  </si>
  <si>
    <t>Limit Approval Number</t>
  </si>
  <si>
    <t>Status</t>
  </si>
  <si>
    <t>Status Reason Type</t>
  </si>
  <si>
    <t>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</si>
</sst>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A634-9956-473C-99E9-0F8B696473B0}">
  <sheetPr codeName="Sheet1"/>
  <dimension ref="A2:M10"/>
  <sheetViews>
    <sheetView workbookViewId="0">
      <selection activeCell="C18" sqref="C17:C18"/>
    </sheetView>
  </sheetViews>
  <sheetFormatPr defaultRowHeight="14.5" x14ac:dyDescent="0.35"/>
  <cols>
    <col min="1" max="1" width="42.7265625" bestFit="1" customWidth="1"/>
    <col min="2" max="2" width="13.81640625" bestFit="1" customWidth="1"/>
    <col min="3" max="3" width="13.08984375" bestFit="1" customWidth="1"/>
    <col min="4" max="4" width="22.08984375" bestFit="1" customWidth="1"/>
    <col min="5" max="5" width="19.6328125" bestFit="1" customWidth="1"/>
    <col min="6" max="6" width="20.453125" bestFit="1" customWidth="1"/>
    <col min="7" max="7" width="16.6328125" bestFit="1" customWidth="1"/>
    <col min="8" max="8" width="24.36328125" bestFit="1" customWidth="1"/>
    <col min="9" max="9" width="18.54296875" bestFit="1" customWidth="1"/>
    <col min="10" max="10" width="25.1796875" bestFit="1" customWidth="1"/>
    <col min="11" max="11" width="29.81640625" bestFit="1" customWidth="1"/>
    <col min="12" max="12" width="25.36328125" bestFit="1" customWidth="1"/>
    <col min="13" max="13" width="15.54296875" bestFit="1" customWidth="1"/>
    <col min="14" max="14" width="13.1796875" bestFit="1" customWidth="1"/>
    <col min="15" max="15" width="19.81640625" bestFit="1" customWidth="1"/>
    <col min="16" max="16" width="15" bestFit="1" customWidth="1"/>
    <col min="17" max="17" width="14.54296875" bestFit="1" customWidth="1"/>
    <col min="18" max="18" width="26" bestFit="1" customWidth="1"/>
    <col min="19" max="19" width="21.08984375" bestFit="1" customWidth="1"/>
    <col min="20" max="20" width="11.08984375" bestFit="1" customWidth="1"/>
    <col min="21" max="21" width="19.36328125" bestFit="1" customWidth="1"/>
    <col min="22" max="23" width="23.1796875" bestFit="1" customWidth="1"/>
    <col min="24" max="24" width="16.26953125" bestFit="1" customWidth="1"/>
    <col min="25" max="25" width="17.7265625" bestFit="1" customWidth="1"/>
    <col min="26" max="26" width="20.1796875" bestFit="1" customWidth="1"/>
    <col min="27" max="27" width="24.26953125" bestFit="1" customWidth="1"/>
    <col min="28" max="28" width="21.54296875" bestFit="1" customWidth="1"/>
    <col min="29" max="29" width="17.08984375" bestFit="1" customWidth="1"/>
    <col min="30" max="30" width="21.08984375" bestFit="1" customWidth="1"/>
    <col min="31" max="31" width="25" bestFit="1" customWidth="1"/>
    <col min="32" max="32" width="23.36328125" bestFit="1" customWidth="1"/>
    <col min="33" max="33" width="13" bestFit="1" customWidth="1"/>
    <col min="34" max="34" width="18.6328125" bestFit="1" customWidth="1"/>
    <col min="35" max="35" width="17.453125" bestFit="1" customWidth="1"/>
    <col min="36" max="36" width="21.1796875" bestFit="1" customWidth="1"/>
    <col min="37" max="37" width="11.36328125" bestFit="1" customWidth="1"/>
    <col min="38" max="38" width="22.26953125" bestFit="1" customWidth="1"/>
    <col min="39" max="39" width="26.1796875" bestFit="1" customWidth="1"/>
    <col min="40" max="40" width="23.1796875" bestFit="1" customWidth="1"/>
    <col min="41" max="41" width="26.1796875" bestFit="1" customWidth="1"/>
    <col min="42" max="42" width="39.54296875" bestFit="1" customWidth="1"/>
    <col min="43" max="43" width="22.54296875" bestFit="1" customWidth="1"/>
    <col min="44" max="44" width="29" bestFit="1" customWidth="1"/>
    <col min="45" max="45" width="18.26953125" bestFit="1" customWidth="1"/>
    <col min="46" max="46" width="20.08984375" bestFit="1" customWidth="1"/>
    <col min="47" max="47" width="15.6328125" bestFit="1" customWidth="1"/>
    <col min="48" max="48" width="25.81640625" bestFit="1" customWidth="1"/>
    <col min="49" max="49" width="21.90625" bestFit="1" customWidth="1"/>
    <col min="50" max="50" width="29.26953125" bestFit="1" customWidth="1"/>
    <col min="51" max="51" width="10.453125" bestFit="1" customWidth="1"/>
    <col min="52" max="52" width="35.1796875" bestFit="1" customWidth="1"/>
    <col min="53" max="53" width="20.26953125" bestFit="1" customWidth="1"/>
    <col min="54" max="54" width="24.26953125" bestFit="1" customWidth="1"/>
    <col min="55" max="55" width="21.7265625" bestFit="1" customWidth="1"/>
    <col min="56" max="56" width="37.08984375" bestFit="1" customWidth="1"/>
    <col min="57" max="57" width="45.453125" bestFit="1" customWidth="1"/>
    <col min="58" max="58" width="52.36328125" bestFit="1" customWidth="1"/>
    <col min="59" max="59" width="42.54296875" bestFit="1" customWidth="1"/>
    <col min="60" max="60" width="44.1796875" bestFit="1" customWidth="1"/>
    <col min="61" max="61" width="30" bestFit="1" customWidth="1"/>
    <col min="62" max="62" width="14.6328125" bestFit="1" customWidth="1"/>
    <col min="63" max="63" width="22.1796875" bestFit="1" customWidth="1"/>
    <col min="64" max="64" width="15.54296875" bestFit="1" customWidth="1"/>
    <col min="65" max="65" width="28.81640625" bestFit="1" customWidth="1"/>
    <col min="66" max="66" width="20.08984375" bestFit="1" customWidth="1"/>
    <col min="67" max="67" width="31.54296875" bestFit="1" customWidth="1"/>
    <col min="68" max="68" width="28.81640625" bestFit="1" customWidth="1"/>
    <col min="69" max="69" width="26.54296875" bestFit="1" customWidth="1"/>
    <col min="70" max="70" width="19.453125" bestFit="1" customWidth="1"/>
    <col min="71" max="71" width="52.26953125" bestFit="1" customWidth="1"/>
    <col min="72" max="72" width="28.1796875" bestFit="1" customWidth="1"/>
    <col min="73" max="73" width="27.6328125" bestFit="1" customWidth="1"/>
    <col min="74" max="74" width="18.453125" bestFit="1" customWidth="1"/>
    <col min="75" max="75" width="22.7265625" bestFit="1" customWidth="1"/>
    <col min="76" max="76" width="31.54296875" bestFit="1" customWidth="1"/>
    <col min="77" max="77" width="39.6328125" bestFit="1" customWidth="1"/>
    <col min="78" max="78" width="32.36328125" bestFit="1" customWidth="1"/>
    <col min="79" max="79" width="18.26953125" bestFit="1" customWidth="1"/>
    <col min="80" max="80" width="33.7265625" bestFit="1" customWidth="1"/>
    <col min="81" max="81" width="37.54296875" bestFit="1" customWidth="1"/>
    <col min="82" max="82" width="22.453125" bestFit="1" customWidth="1"/>
    <col min="83" max="83" width="30.08984375" bestFit="1" customWidth="1"/>
    <col min="84" max="84" width="23.26953125" bestFit="1" customWidth="1"/>
    <col min="85" max="85" width="28.6328125" bestFit="1" customWidth="1"/>
    <col min="86" max="86" width="36" bestFit="1" customWidth="1"/>
    <col min="87" max="87" width="24.6328125" bestFit="1" customWidth="1"/>
    <col min="88" max="88" width="29.26953125" bestFit="1" customWidth="1"/>
  </cols>
  <sheetData>
    <row r="2" spans="1:13" x14ac:dyDescent="0.35">
      <c r="A2" t="s">
        <v>9</v>
      </c>
      <c r="M2" s="1"/>
    </row>
    <row r="5" spans="1:13" x14ac:dyDescent="0.35">
      <c r="A5" t="s">
        <v>3</v>
      </c>
    </row>
    <row r="6" spans="1:13" x14ac:dyDescent="0.35">
      <c r="A6" t="s">
        <v>4</v>
      </c>
    </row>
    <row r="7" spans="1:13" x14ac:dyDescent="0.35">
      <c r="A7" t="s">
        <v>5</v>
      </c>
    </row>
    <row r="8" spans="1:13" x14ac:dyDescent="0.35">
      <c r="A8" t="s">
        <v>6</v>
      </c>
    </row>
    <row r="9" spans="1:13" x14ac:dyDescent="0.35">
      <c r="A9" t="s">
        <v>7</v>
      </c>
    </row>
    <row r="10" spans="1:13" x14ac:dyDescent="0.35">
      <c r="A10" t="s">
        <v>8</v>
      </c>
      <c r="D10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86CB-7EB6-4294-9C4F-8ECE9254F3CC}">
  <sheetPr codeName="Sheet2"/>
  <dimension ref="B3:M89"/>
  <sheetViews>
    <sheetView tabSelected="1" topLeftCell="F1" workbookViewId="0">
      <selection activeCell="I14" sqref="I14"/>
    </sheetView>
  </sheetViews>
  <sheetFormatPr defaultRowHeight="14.5" x14ac:dyDescent="0.35"/>
  <cols>
    <col min="1" max="1" width="8.7265625" style="7"/>
    <col min="2" max="2" width="19.7265625" style="6" customWidth="1"/>
    <col min="3" max="3" width="52.36328125" style="7" bestFit="1" customWidth="1"/>
    <col min="4" max="4" width="15.26953125" style="6" customWidth="1"/>
    <col min="5" max="5" width="11.453125" style="6" customWidth="1"/>
    <col min="6" max="6" width="8.7265625" style="7"/>
    <col min="7" max="7" width="53.26953125" style="6" bestFit="1" customWidth="1"/>
    <col min="8" max="8" width="8.7265625" style="7"/>
    <col min="9" max="9" width="89.26953125" style="7" bestFit="1" customWidth="1"/>
    <col min="10" max="10" width="8.7265625" style="7"/>
    <col min="11" max="11" width="79.81640625" style="7" bestFit="1" customWidth="1"/>
    <col min="12" max="16384" width="8.7265625" style="7"/>
  </cols>
  <sheetData>
    <row r="3" spans="2:11" x14ac:dyDescent="0.35">
      <c r="B3" s="5" t="s">
        <v>1</v>
      </c>
      <c r="C3" s="2" t="s">
        <v>2</v>
      </c>
      <c r="D3" s="5" t="s">
        <v>17</v>
      </c>
      <c r="E3" s="5" t="s">
        <v>18</v>
      </c>
      <c r="G3" s="5" t="s">
        <v>22</v>
      </c>
      <c r="I3" s="5" t="s">
        <v>19</v>
      </c>
      <c r="K3" s="5" t="s">
        <v>20</v>
      </c>
    </row>
    <row r="4" spans="2:11" x14ac:dyDescent="0.35">
      <c r="B4" s="4">
        <v>1</v>
      </c>
      <c r="C4" s="7" t="s">
        <v>23</v>
      </c>
      <c r="D4" s="6" t="s">
        <v>10</v>
      </c>
      <c r="E4" s="4" t="str" cm="1">
        <f t="array" ref="E4">getFieldType(D4)</f>
        <v>Text</v>
      </c>
      <c r="G4" s="4" t="str">
        <f>C4 &amp; ", "</f>
        <v xml:space="preserve">PO Number, </v>
      </c>
      <c r="I4" s="3" t="str" cm="1">
        <f t="array" ref="I4">getMapping(B4, C4, E4)</f>
        <v>{"Position":"1", "Name":"PO Number", "Type":"Text"},</v>
      </c>
      <c r="K4" s="3" t="str" cm="1">
        <f t="array" ref="K4">getRule(B4, C4)</f>
        <v>{"Type":"Key", "Name":"PO Number"},</v>
      </c>
    </row>
    <row r="5" spans="2:11" x14ac:dyDescent="0.35">
      <c r="B5" s="4">
        <f>B4+1</f>
        <v>2</v>
      </c>
      <c r="C5" s="7" t="s">
        <v>24</v>
      </c>
      <c r="D5" s="6" t="s">
        <v>10</v>
      </c>
      <c r="E5" s="4" t="str" cm="1">
        <f t="array" ref="E5">getFieldType(D5)</f>
        <v>Text</v>
      </c>
      <c r="G5" s="4" t="str">
        <f t="shared" ref="G5:G66" si="0">C5 &amp; ", "</f>
        <v xml:space="preserve">Currency, </v>
      </c>
      <c r="I5" s="3" t="str" cm="1">
        <f t="array" ref="I5">getMapping(B5, C5, E5)</f>
        <v>{"Position":"2", "Name":"Currency", "Type":"Text"},</v>
      </c>
      <c r="K5" s="3" t="str" cm="1">
        <f t="array" ref="K5">getRule(B5, C5)</f>
        <v>{"Type":"Compare", "Name":"Currency"},</v>
      </c>
    </row>
    <row r="6" spans="2:11" x14ac:dyDescent="0.35">
      <c r="B6" s="4">
        <f t="shared" ref="B6:B69" si="1">B5+1</f>
        <v>3</v>
      </c>
      <c r="C6" s="7" t="s">
        <v>25</v>
      </c>
      <c r="D6" s="6" t="s">
        <v>10</v>
      </c>
      <c r="E6" s="4" t="str" cm="1">
        <f t="array" ref="E6">getFieldType(D6)</f>
        <v>Text</v>
      </c>
      <c r="G6" s="4" t="str">
        <f t="shared" si="0"/>
        <v xml:space="preserve">PO Amount, </v>
      </c>
      <c r="I6" s="3" t="str" cm="1">
        <f t="array" ref="I6">getMapping(B6, C6, E6)</f>
        <v>{"Position":"3", "Name":"PO Amount", "Type":"Text"},</v>
      </c>
      <c r="K6" s="3" t="str" cm="1">
        <f t="array" ref="K6">getRule(B6, C6)</f>
        <v>{"Type":"Compare", "Name":"PO Amount"},</v>
      </c>
    </row>
    <row r="7" spans="2:11" x14ac:dyDescent="0.35">
      <c r="B7" s="4">
        <f t="shared" si="1"/>
        <v>4</v>
      </c>
      <c r="C7" s="7" t="s">
        <v>26</v>
      </c>
      <c r="D7" s="6" t="s">
        <v>10</v>
      </c>
      <c r="E7" s="4" t="str" cm="1">
        <f t="array" ref="E7">getFieldType(D7)</f>
        <v>Text</v>
      </c>
      <c r="G7" s="4" t="str">
        <f t="shared" si="0"/>
        <v xml:space="preserve">Document Date, </v>
      </c>
      <c r="I7" s="3" t="str" cm="1">
        <f t="array" ref="I7">getMapping(B7, C7, E7)</f>
        <v>{"Position":"4", "Name":"Document Date", "Type":"Text"},</v>
      </c>
      <c r="K7" s="3" t="str" cm="1">
        <f t="array" ref="K7">getRule(B7, C7)</f>
        <v>{"Type":"Compare", "Name":"Document Date"},</v>
      </c>
    </row>
    <row r="8" spans="2:11" x14ac:dyDescent="0.35">
      <c r="B8" s="4">
        <f t="shared" si="1"/>
        <v>5</v>
      </c>
      <c r="C8" s="7" t="s">
        <v>27</v>
      </c>
      <c r="D8" s="6" t="s">
        <v>10</v>
      </c>
      <c r="E8" s="4" t="str" cm="1">
        <f t="array" ref="E8">getFieldType(D8)</f>
        <v>Text</v>
      </c>
      <c r="G8" s="4" t="str">
        <f t="shared" si="0"/>
        <v xml:space="preserve">Download Date, </v>
      </c>
      <c r="I8" s="3" t="str" cm="1">
        <f t="array" ref="I8">getMapping(B8, C8, E8)</f>
        <v>{"Position":"5", "Name":"Download Date", "Type":"Text"},</v>
      </c>
      <c r="K8" s="3" t="str" cm="1">
        <f t="array" ref="K8">getRule(B8, C8)</f>
        <v>{"Type":"Compare", "Name":"Download Date"},</v>
      </c>
    </row>
    <row r="9" spans="2:11" x14ac:dyDescent="0.35">
      <c r="B9" s="4">
        <f t="shared" si="1"/>
        <v>6</v>
      </c>
      <c r="C9" s="7" t="s">
        <v>28</v>
      </c>
      <c r="D9" s="6" t="s">
        <v>10</v>
      </c>
      <c r="E9" s="4" t="str" cm="1">
        <f t="array" ref="E9">getFieldType(D9)</f>
        <v>Text</v>
      </c>
      <c r="G9" s="4" t="str">
        <f t="shared" si="0"/>
        <v xml:space="preserve">SO Number, </v>
      </c>
      <c r="I9" s="3" t="str" cm="1">
        <f t="array" ref="I9">getMapping(B9, C9, E9)</f>
        <v>{"Position":"6", "Name":"SO Number", "Type":"Text"},</v>
      </c>
      <c r="K9" s="3" t="str" cm="1">
        <f t="array" ref="K9">getRule(B9, C9)</f>
        <v>{"Type":"Compare", "Name":"SO Number"},</v>
      </c>
    </row>
    <row r="10" spans="2:11" x14ac:dyDescent="0.35">
      <c r="B10" s="4">
        <f t="shared" si="1"/>
        <v>7</v>
      </c>
      <c r="C10" s="7" t="s">
        <v>29</v>
      </c>
      <c r="D10" s="6" t="s">
        <v>10</v>
      </c>
      <c r="E10" s="4" t="str" cm="1">
        <f t="array" ref="E10">getFieldType(D10)</f>
        <v>Text</v>
      </c>
      <c r="G10" s="4" t="str">
        <f t="shared" si="0"/>
        <v xml:space="preserve">Buyer External ID, </v>
      </c>
      <c r="I10" s="3" t="str" cm="1">
        <f t="array" ref="I10">getMapping(B10, C10, E10)</f>
        <v>{"Position":"7", "Name":"Buyer External ID", "Type":"Text"},</v>
      </c>
      <c r="K10" s="3" t="str" cm="1">
        <f t="array" ref="K10">getRule(B10, C10)</f>
        <v>{"Type":"Compare", "Name":"Buyer External ID"},</v>
      </c>
    </row>
    <row r="11" spans="2:11" x14ac:dyDescent="0.35">
      <c r="B11" s="4">
        <f t="shared" si="1"/>
        <v>8</v>
      </c>
      <c r="C11" s="7" t="s">
        <v>30</v>
      </c>
      <c r="D11" s="6" t="s">
        <v>10</v>
      </c>
      <c r="E11" s="4" t="str" cm="1">
        <f t="array" ref="E11">getFieldType(D11)</f>
        <v>Text</v>
      </c>
      <c r="G11" s="4" t="str">
        <f t="shared" si="0"/>
        <v xml:space="preserve">Vendor External ID, </v>
      </c>
      <c r="I11" s="3" t="str" cm="1">
        <f t="array" ref="I11">getMapping(B11, C11, E11)</f>
        <v>{"Position":"8", "Name":"Vendor External ID", "Type":"Text"},</v>
      </c>
      <c r="K11" s="3" t="str" cm="1">
        <f t="array" ref="K11">getRule(B11, C11)</f>
        <v>{"Type":"Compare", "Name":"Vendor External ID"},</v>
      </c>
    </row>
    <row r="12" spans="2:11" x14ac:dyDescent="0.35">
      <c r="B12" s="4">
        <f t="shared" si="1"/>
        <v>9</v>
      </c>
      <c r="C12" s="7" t="s">
        <v>31</v>
      </c>
      <c r="D12" s="6" t="s">
        <v>10</v>
      </c>
      <c r="E12" s="4" t="str" cm="1">
        <f t="array" ref="E12">getFieldType(D12)</f>
        <v>Text</v>
      </c>
      <c r="G12" s="4" t="str">
        <f t="shared" si="0"/>
        <v xml:space="preserve">Program, </v>
      </c>
      <c r="I12" s="3" t="str" cm="1">
        <f t="array" ref="I12">getMapping(B12, C12, E12)</f>
        <v>{"Position":"9", "Name":"Program", "Type":"Text"},</v>
      </c>
      <c r="K12" s="3" t="str" cm="1">
        <f t="array" ref="K12">getRule(B12, C12)</f>
        <v>{"Type":"Compare", "Name":"Program"},</v>
      </c>
    </row>
    <row r="13" spans="2:11" x14ac:dyDescent="0.35">
      <c r="B13" s="4">
        <f t="shared" si="1"/>
        <v>10</v>
      </c>
      <c r="C13" s="7" t="s">
        <v>32</v>
      </c>
      <c r="D13" s="6" t="s">
        <v>10</v>
      </c>
      <c r="E13" s="4" t="str" cm="1">
        <f t="array" ref="E13">getFieldType(D13)</f>
        <v>Text</v>
      </c>
      <c r="G13" s="4" t="str">
        <f t="shared" si="0"/>
        <v xml:space="preserve">Limit Status, </v>
      </c>
      <c r="I13" s="3" t="str" cm="1">
        <f t="array" ref="I13">getMapping(B13, C13, E13)</f>
        <v>{"Position":"10", "Name":"Limit Status", "Type":"Text"},</v>
      </c>
      <c r="K13" s="3" t="str" cm="1">
        <f t="array" ref="K13">getRule(B13, C13)</f>
        <v>{"Type":"Compare", "Name":"Limit Status"},</v>
      </c>
    </row>
    <row r="14" spans="2:11" x14ac:dyDescent="0.35">
      <c r="B14" s="4">
        <f t="shared" si="1"/>
        <v>11</v>
      </c>
      <c r="C14" s="7" t="s">
        <v>33</v>
      </c>
      <c r="D14" s="6" t="s">
        <v>10</v>
      </c>
      <c r="E14" s="4" t="str" cm="1">
        <f t="array" ref="E14">getFieldType(D14)</f>
        <v>Text</v>
      </c>
      <c r="G14" s="4" t="str">
        <f t="shared" si="0"/>
        <v xml:space="preserve">Limit Approval Number, </v>
      </c>
      <c r="I14" s="3" t="str" cm="1">
        <f t="array" ref="I14">getMapping(B14, C14, E14)</f>
        <v>{"Position":"11", "Name":"Limit Approval Number", "Type":"Text"},</v>
      </c>
      <c r="K14" s="3" t="str" cm="1">
        <f t="array" ref="K14">getRule(B14, C14)</f>
        <v>{"Type":"Compare", "Name":"Limit Approval Number"},</v>
      </c>
    </row>
    <row r="15" spans="2:11" x14ac:dyDescent="0.35">
      <c r="B15" s="4">
        <f t="shared" si="1"/>
        <v>12</v>
      </c>
      <c r="C15" s="7" t="s">
        <v>34</v>
      </c>
      <c r="D15" s="6" t="s">
        <v>10</v>
      </c>
      <c r="E15" s="4" t="str" cm="1">
        <f t="array" ref="E15">getFieldType(D15)</f>
        <v>Text</v>
      </c>
      <c r="G15" s="4" t="str">
        <f t="shared" si="0"/>
        <v xml:space="preserve">Status, </v>
      </c>
      <c r="I15" s="3" t="str" cm="1">
        <f t="array" ref="I15">getMapping(B15, C15, E15)</f>
        <v>{"Position":"12", "Name":"Status", "Type":"Text"},</v>
      </c>
      <c r="K15" s="3" t="str" cm="1">
        <f t="array" ref="K15">getRule(B15, C15)</f>
        <v>{"Type":"Compare", "Name":"Status"},</v>
      </c>
    </row>
    <row r="16" spans="2:11" x14ac:dyDescent="0.35">
      <c r="B16" s="4">
        <f t="shared" si="1"/>
        <v>13</v>
      </c>
      <c r="C16" s="7" t="s">
        <v>35</v>
      </c>
      <c r="D16" s="6" t="s">
        <v>10</v>
      </c>
      <c r="E16" s="4" t="str" cm="1">
        <f t="array" ref="E16">getFieldType(D16)</f>
        <v>Text</v>
      </c>
      <c r="G16" s="4" t="str">
        <f t="shared" si="0"/>
        <v xml:space="preserve">Status Reason Type, </v>
      </c>
      <c r="I16" s="3" t="str" cm="1">
        <f t="array" ref="I16">getMapping(B16, C16, E16)</f>
        <v>{"Position":"13", "Name":"Status Reason Type", "Type":"Text"},</v>
      </c>
      <c r="K16" s="3" t="str" cm="1">
        <f t="array" ref="K16">getRule(B16, C16)</f>
        <v>{"Type":"Compare", "Name":"Status Reason Type"},</v>
      </c>
    </row>
    <row r="17" spans="2:11" x14ac:dyDescent="0.35">
      <c r="B17" s="4">
        <f t="shared" si="1"/>
        <v>14</v>
      </c>
      <c r="C17" s="7" t="s">
        <v>36</v>
      </c>
      <c r="D17" s="6" t="s">
        <v>10</v>
      </c>
      <c r="E17" s="4" t="str" cm="1">
        <f t="array" ref="E17">getFieldType(D17)</f>
        <v>Text</v>
      </c>
      <c r="G17" s="4" t="str">
        <f t="shared" si="0"/>
        <v xml:space="preserve">Upload, </v>
      </c>
      <c r="I17" s="3" t="str" cm="1">
        <f t="array" ref="I17">getMapping(B17, C17, E17)</f>
        <v>{"Position":"14", "Name":"Upload", "Type":"Text"},</v>
      </c>
      <c r="K17" s="3" t="str" cm="1">
        <f t="array" ref="K17">getRule(B17, C17)</f>
        <v>{"Type":"Compare", "Name":"Upload"},</v>
      </c>
    </row>
    <row r="18" spans="2:11" x14ac:dyDescent="0.35">
      <c r="B18" s="4">
        <f t="shared" si="1"/>
        <v>15</v>
      </c>
      <c r="D18" s="6" t="s">
        <v>11</v>
      </c>
      <c r="E18" s="4" t="str" cm="1">
        <f t="array" ref="E18">getFieldType(D18)</f>
        <v>Integer</v>
      </c>
      <c r="G18" s="4" t="str">
        <f t="shared" si="0"/>
        <v xml:space="preserve">, </v>
      </c>
      <c r="I18" s="3" t="str" cm="1">
        <f t="array" ref="I18">getMapping(B18, C18, E18)</f>
        <v>{"Position":"15", "Name":"", "Type":"Integer"},</v>
      </c>
      <c r="K18" s="3" t="str" cm="1">
        <f t="array" ref="K18">getRule(B18, C18)</f>
        <v>{"Type":"Compare", "Name":""},</v>
      </c>
    </row>
    <row r="19" spans="2:11" x14ac:dyDescent="0.35">
      <c r="B19" s="4">
        <f t="shared" si="1"/>
        <v>16</v>
      </c>
      <c r="D19" s="6" t="s">
        <v>11</v>
      </c>
      <c r="E19" s="4" t="str" cm="1">
        <f t="array" ref="E19">getFieldType(D19)</f>
        <v>Integer</v>
      </c>
      <c r="G19" s="4" t="str">
        <f t="shared" si="0"/>
        <v xml:space="preserve">, </v>
      </c>
      <c r="I19" s="3" t="str" cm="1">
        <f t="array" ref="I19">getMapping(B19, C19, E19)</f>
        <v>{"Position":"16", "Name":"", "Type":"Integer"},</v>
      </c>
      <c r="K19" s="3" t="str" cm="1">
        <f t="array" ref="K19">getRule(B19, C19)</f>
        <v>{"Type":"Compare", "Name":""},</v>
      </c>
    </row>
    <row r="20" spans="2:11" x14ac:dyDescent="0.35">
      <c r="B20" s="4">
        <f t="shared" si="1"/>
        <v>17</v>
      </c>
      <c r="D20" s="6" t="s">
        <v>13</v>
      </c>
      <c r="E20" s="4" t="str" cm="1">
        <f t="array" ref="E20">getFieldType(D20)</f>
        <v>Integer</v>
      </c>
      <c r="G20" s="4" t="str">
        <f t="shared" si="0"/>
        <v xml:space="preserve">, </v>
      </c>
      <c r="I20" s="3" t="str" cm="1">
        <f t="array" ref="I20">getMapping(B20, C20, E20)</f>
        <v>{"Position":"17", "Name":"", "Type":"Integer"},</v>
      </c>
      <c r="K20" s="3" t="str" cm="1">
        <f t="array" ref="K20">getRule(B20, C20)</f>
        <v>{"Type":"Compare", "Name":""},</v>
      </c>
    </row>
    <row r="21" spans="2:11" x14ac:dyDescent="0.35">
      <c r="B21" s="4">
        <f t="shared" si="1"/>
        <v>18</v>
      </c>
      <c r="D21" s="6" t="s">
        <v>11</v>
      </c>
      <c r="E21" s="4" t="str" cm="1">
        <f t="array" ref="E21">getFieldType(D21)</f>
        <v>Integer</v>
      </c>
      <c r="G21" s="4" t="str">
        <f t="shared" si="0"/>
        <v xml:space="preserve">, </v>
      </c>
      <c r="I21" s="3" t="str" cm="1">
        <f t="array" ref="I21">getMapping(B21, C21, E21)</f>
        <v>{"Position":"18", "Name":"", "Type":"Integer"},</v>
      </c>
      <c r="K21" s="3" t="str" cm="1">
        <f t="array" ref="K21">getRule(B21, C21)</f>
        <v>{"Type":"Compare", "Name":""},</v>
      </c>
    </row>
    <row r="22" spans="2:11" x14ac:dyDescent="0.35">
      <c r="B22" s="4">
        <f t="shared" si="1"/>
        <v>19</v>
      </c>
      <c r="D22" s="6" t="s">
        <v>11</v>
      </c>
      <c r="E22" s="4" t="str" cm="1">
        <f t="array" ref="E22">getFieldType(D22)</f>
        <v>Integer</v>
      </c>
      <c r="G22" s="4" t="str">
        <f t="shared" si="0"/>
        <v xml:space="preserve">, </v>
      </c>
      <c r="I22" s="3" t="str" cm="1">
        <f t="array" ref="I22">getMapping(B22, C22, E22)</f>
        <v>{"Position":"19", "Name":"", "Type":"Integer"},</v>
      </c>
      <c r="K22" s="3" t="str" cm="1">
        <f t="array" ref="K22">getRule(B22, C22)</f>
        <v>{"Type":"Compare", "Name":""},</v>
      </c>
    </row>
    <row r="23" spans="2:11" x14ac:dyDescent="0.35">
      <c r="B23" s="4">
        <f t="shared" si="1"/>
        <v>20</v>
      </c>
      <c r="D23" s="6" t="s">
        <v>11</v>
      </c>
      <c r="E23" s="4" t="str" cm="1">
        <f t="array" ref="E23">getFieldType(D23)</f>
        <v>Integer</v>
      </c>
      <c r="G23" s="4" t="str">
        <f t="shared" si="0"/>
        <v xml:space="preserve">, </v>
      </c>
      <c r="I23" s="3" t="str" cm="1">
        <f t="array" ref="I23">getMapping(B23, C23, E23)</f>
        <v>{"Position":"20", "Name":"", "Type":"Integer"},</v>
      </c>
      <c r="K23" s="3" t="str" cm="1">
        <f t="array" ref="K23">getRule(B23, C23)</f>
        <v>{"Type":"Compare", "Name":""},</v>
      </c>
    </row>
    <row r="24" spans="2:11" x14ac:dyDescent="0.35">
      <c r="B24" s="4">
        <f t="shared" si="1"/>
        <v>21</v>
      </c>
      <c r="D24" s="6" t="s">
        <v>11</v>
      </c>
      <c r="E24" s="4" t="str" cm="1">
        <f t="array" ref="E24">getFieldType(D24)</f>
        <v>Integer</v>
      </c>
      <c r="G24" s="4" t="str">
        <f t="shared" si="0"/>
        <v xml:space="preserve">, </v>
      </c>
      <c r="I24" s="3" t="str" cm="1">
        <f t="array" ref="I24">getMapping(B24, C24, E24)</f>
        <v>{"Position":"21", "Name":"", "Type":"Integer"},</v>
      </c>
      <c r="K24" s="3" t="str" cm="1">
        <f t="array" ref="K24">getRule(B24, C24)</f>
        <v>{"Type":"Compare", "Name":""},</v>
      </c>
    </row>
    <row r="25" spans="2:11" x14ac:dyDescent="0.35">
      <c r="B25" s="4">
        <f t="shared" si="1"/>
        <v>22</v>
      </c>
      <c r="D25" s="6" t="s">
        <v>11</v>
      </c>
      <c r="E25" s="4" t="str" cm="1">
        <f t="array" ref="E25">getFieldType(D25)</f>
        <v>Integer</v>
      </c>
      <c r="G25" s="4" t="str">
        <f t="shared" si="0"/>
        <v xml:space="preserve">, </v>
      </c>
      <c r="I25" s="3" t="str" cm="1">
        <f t="array" ref="I25">getMapping(B25, C25, E25)</f>
        <v>{"Position":"22", "Name":"", "Type":"Integer"},</v>
      </c>
      <c r="K25" s="3" t="str" cm="1">
        <f t="array" ref="K25">getRule(B25, C25)</f>
        <v>{"Type":"Compare", "Name":""},</v>
      </c>
    </row>
    <row r="26" spans="2:11" x14ac:dyDescent="0.35">
      <c r="B26" s="4">
        <f t="shared" si="1"/>
        <v>23</v>
      </c>
      <c r="D26" s="6" t="s">
        <v>11</v>
      </c>
      <c r="E26" s="4" t="str" cm="1">
        <f t="array" ref="E26">getFieldType(D26)</f>
        <v>Integer</v>
      </c>
      <c r="G26" s="4" t="str">
        <f t="shared" si="0"/>
        <v xml:space="preserve">, </v>
      </c>
      <c r="I26" s="3" t="str" cm="1">
        <f t="array" ref="I26">getMapping(B26, C26, E26)</f>
        <v>{"Position":"23", "Name":"", "Type":"Integer"},</v>
      </c>
      <c r="K26" s="3" t="str" cm="1">
        <f t="array" ref="K26">getRule(B26, C26)</f>
        <v>{"Type":"Compare", "Name":""},</v>
      </c>
    </row>
    <row r="27" spans="2:11" x14ac:dyDescent="0.35">
      <c r="B27" s="4">
        <f t="shared" si="1"/>
        <v>24</v>
      </c>
      <c r="D27" s="6" t="s">
        <v>11</v>
      </c>
      <c r="E27" s="4" t="str" cm="1">
        <f t="array" ref="E27">getFieldType(D27)</f>
        <v>Integer</v>
      </c>
      <c r="G27" s="4" t="str">
        <f t="shared" si="0"/>
        <v xml:space="preserve">, </v>
      </c>
      <c r="I27" s="3" t="str" cm="1">
        <f t="array" ref="I27">getMapping(B27, C27, E27)</f>
        <v>{"Position":"24", "Name":"", "Type":"Integer"},</v>
      </c>
      <c r="K27" s="3" t="str" cm="1">
        <f t="array" ref="K27">getRule(B27, C27)</f>
        <v>{"Type":"Compare", "Name":""},</v>
      </c>
    </row>
    <row r="28" spans="2:11" x14ac:dyDescent="0.35">
      <c r="B28" s="4">
        <f t="shared" si="1"/>
        <v>25</v>
      </c>
      <c r="D28" s="6" t="s">
        <v>10</v>
      </c>
      <c r="E28" s="4" t="str" cm="1">
        <f t="array" ref="E28">getFieldType(D28)</f>
        <v>Text</v>
      </c>
      <c r="G28" s="4" t="str">
        <f t="shared" si="0"/>
        <v xml:space="preserve">, </v>
      </c>
      <c r="I28" s="3" t="str" cm="1">
        <f t="array" ref="I28">getMapping(B28, C28, E28)</f>
        <v>{"Position":"25", "Name":"", "Type":"Text"},</v>
      </c>
      <c r="K28" s="3" t="str" cm="1">
        <f t="array" ref="K28">getRule(B28, C28)</f>
        <v>{"Type":"Compare", "Name":""},</v>
      </c>
    </row>
    <row r="29" spans="2:11" x14ac:dyDescent="0.35">
      <c r="B29" s="4">
        <f t="shared" si="1"/>
        <v>26</v>
      </c>
      <c r="D29" s="6" t="s">
        <v>11</v>
      </c>
      <c r="E29" s="4" t="str" cm="1">
        <f t="array" ref="E29">getFieldType(D29)</f>
        <v>Integer</v>
      </c>
      <c r="G29" s="4" t="str">
        <f t="shared" si="0"/>
        <v xml:space="preserve">, </v>
      </c>
      <c r="I29" s="3" t="str" cm="1">
        <f t="array" ref="I29">getMapping(B29, C29, E29)</f>
        <v>{"Position":"26", "Name":"", "Type":"Integer"},</v>
      </c>
      <c r="K29" s="3" t="str" cm="1">
        <f t="array" ref="K29">getRule(B29, C29)</f>
        <v>{"Type":"Compare", "Name":""},</v>
      </c>
    </row>
    <row r="30" spans="2:11" x14ac:dyDescent="0.35">
      <c r="B30" s="4">
        <f t="shared" si="1"/>
        <v>27</v>
      </c>
      <c r="D30" s="6" t="s">
        <v>11</v>
      </c>
      <c r="E30" s="4" t="str" cm="1">
        <f t="array" ref="E30">getFieldType(D30)</f>
        <v>Integer</v>
      </c>
      <c r="G30" s="4" t="str">
        <f t="shared" si="0"/>
        <v xml:space="preserve">, </v>
      </c>
      <c r="I30" s="3" t="str" cm="1">
        <f t="array" ref="I30">getMapping(B30, C30, E30)</f>
        <v>{"Position":"27", "Name":"", "Type":"Integer"},</v>
      </c>
      <c r="K30" s="3" t="str" cm="1">
        <f t="array" ref="K30">getRule(B30, C30)</f>
        <v>{"Type":"Compare", "Name":""},</v>
      </c>
    </row>
    <row r="31" spans="2:11" x14ac:dyDescent="0.35">
      <c r="B31" s="4">
        <f t="shared" si="1"/>
        <v>28</v>
      </c>
      <c r="D31" s="6" t="s">
        <v>11</v>
      </c>
      <c r="E31" s="4" t="str" cm="1">
        <f t="array" ref="E31">getFieldType(D31)</f>
        <v>Integer</v>
      </c>
      <c r="G31" s="4" t="str">
        <f t="shared" si="0"/>
        <v xml:space="preserve">, </v>
      </c>
      <c r="I31" s="3" t="str" cm="1">
        <f t="array" ref="I31">getMapping(B31, C31, E31)</f>
        <v>{"Position":"28", "Name":"", "Type":"Integer"},</v>
      </c>
      <c r="K31" s="3" t="str" cm="1">
        <f t="array" ref="K31">getRule(B31, C31)</f>
        <v>{"Type":"Compare", "Name":""},</v>
      </c>
    </row>
    <row r="32" spans="2:11" x14ac:dyDescent="0.35">
      <c r="B32" s="4">
        <f t="shared" si="1"/>
        <v>29</v>
      </c>
      <c r="D32" s="6" t="s">
        <v>11</v>
      </c>
      <c r="E32" s="4" t="str" cm="1">
        <f t="array" ref="E32">getFieldType(D32)</f>
        <v>Integer</v>
      </c>
      <c r="G32" s="4" t="str">
        <f t="shared" si="0"/>
        <v xml:space="preserve">, </v>
      </c>
      <c r="I32" s="3" t="str" cm="1">
        <f t="array" ref="I32">getMapping(B32, C32, E32)</f>
        <v>{"Position":"29", "Name":"", "Type":"Integer"},</v>
      </c>
      <c r="K32" s="3" t="str" cm="1">
        <f t="array" ref="K32">getRule(B32, C32)</f>
        <v>{"Type":"Compare", "Name":""},</v>
      </c>
    </row>
    <row r="33" spans="2:11" x14ac:dyDescent="0.35">
      <c r="B33" s="4">
        <f t="shared" si="1"/>
        <v>30</v>
      </c>
      <c r="D33" s="6" t="s">
        <v>10</v>
      </c>
      <c r="E33" s="4" t="str" cm="1">
        <f t="array" ref="E33">getFieldType(D33)</f>
        <v>Text</v>
      </c>
      <c r="G33" s="4" t="str">
        <f t="shared" si="0"/>
        <v xml:space="preserve">, </v>
      </c>
      <c r="I33" s="3" t="str" cm="1">
        <f t="array" ref="I33">getMapping(B33, C33, E33)</f>
        <v>{"Position":"30", "Name":"", "Type":"Text"},</v>
      </c>
      <c r="K33" s="3" t="str" cm="1">
        <f t="array" ref="K33">getRule(B33, C33)</f>
        <v>{"Type":"Compare", "Name":""},</v>
      </c>
    </row>
    <row r="34" spans="2:11" x14ac:dyDescent="0.35">
      <c r="B34" s="4">
        <f t="shared" si="1"/>
        <v>31</v>
      </c>
      <c r="D34" s="6" t="s">
        <v>11</v>
      </c>
      <c r="E34" s="4" t="str" cm="1">
        <f t="array" ref="E34">getFieldType(D34)</f>
        <v>Integer</v>
      </c>
      <c r="G34" s="4" t="str">
        <f t="shared" si="0"/>
        <v xml:space="preserve">, </v>
      </c>
      <c r="I34" s="3" t="str" cm="1">
        <f t="array" ref="I34">getMapping(B34, C34, E34)</f>
        <v>{"Position":"31", "Name":"", "Type":"Integer"},</v>
      </c>
      <c r="K34" s="3" t="str" cm="1">
        <f t="array" ref="K34">getRule(B34, C34)</f>
        <v>{"Type":"Compare", "Name":""},</v>
      </c>
    </row>
    <row r="35" spans="2:11" x14ac:dyDescent="0.35">
      <c r="B35" s="4">
        <f t="shared" si="1"/>
        <v>32</v>
      </c>
      <c r="D35" s="6" t="s">
        <v>10</v>
      </c>
      <c r="E35" s="4" t="str" cm="1">
        <f t="array" ref="E35">getFieldType(D35)</f>
        <v>Text</v>
      </c>
      <c r="G35" s="4" t="str">
        <f t="shared" si="0"/>
        <v xml:space="preserve">, </v>
      </c>
      <c r="I35" s="3" t="str" cm="1">
        <f t="array" ref="I35">getMapping(B35, C35, E35)</f>
        <v>{"Position":"32", "Name":"", "Type":"Text"},</v>
      </c>
      <c r="K35" s="3" t="str" cm="1">
        <f t="array" ref="K35">getRule(B35, C35)</f>
        <v>{"Type":"Compare", "Name":""},</v>
      </c>
    </row>
    <row r="36" spans="2:11" x14ac:dyDescent="0.35">
      <c r="B36" s="4">
        <f t="shared" si="1"/>
        <v>33</v>
      </c>
      <c r="D36" s="6" t="s">
        <v>10</v>
      </c>
      <c r="E36" s="4" t="str" cm="1">
        <f t="array" ref="E36">getFieldType(D36)</f>
        <v>Text</v>
      </c>
      <c r="G36" s="4" t="str">
        <f t="shared" si="0"/>
        <v xml:space="preserve">, </v>
      </c>
      <c r="I36" s="3" t="str" cm="1">
        <f t="array" ref="I36">getMapping(B36, C36, E36)</f>
        <v>{"Position":"33", "Name":"", "Type":"Text"},</v>
      </c>
      <c r="K36" s="3" t="str" cm="1">
        <f t="array" ref="K36">getRule(B36, C36)</f>
        <v>{"Type":"Compare", "Name":""},</v>
      </c>
    </row>
    <row r="37" spans="2:11" x14ac:dyDescent="0.35">
      <c r="B37" s="4">
        <f t="shared" si="1"/>
        <v>34</v>
      </c>
      <c r="D37" s="6" t="s">
        <v>10</v>
      </c>
      <c r="E37" s="4" t="str" cm="1">
        <f t="array" ref="E37">getFieldType(D37)</f>
        <v>Text</v>
      </c>
      <c r="G37" s="4" t="str">
        <f t="shared" si="0"/>
        <v xml:space="preserve">, </v>
      </c>
      <c r="I37" s="3" t="str" cm="1">
        <f t="array" ref="I37">getMapping(B37, C37, E37)</f>
        <v>{"Position":"34", "Name":"", "Type":"Text"},</v>
      </c>
      <c r="K37" s="3" t="str" cm="1">
        <f t="array" ref="K37">getRule(B37, C37)</f>
        <v>{"Type":"Compare", "Name":""},</v>
      </c>
    </row>
    <row r="38" spans="2:11" x14ac:dyDescent="0.35">
      <c r="B38" s="4">
        <f t="shared" si="1"/>
        <v>35</v>
      </c>
      <c r="D38" s="6" t="s">
        <v>10</v>
      </c>
      <c r="E38" s="4" t="str" cm="1">
        <f t="array" ref="E38">getFieldType(D38)</f>
        <v>Text</v>
      </c>
      <c r="G38" s="4" t="str">
        <f t="shared" si="0"/>
        <v xml:space="preserve">, </v>
      </c>
      <c r="I38" s="3" t="str" cm="1">
        <f t="array" ref="I38">getMapping(B38, C38, E38)</f>
        <v>{"Position":"35", "Name":"", "Type":"Text"},</v>
      </c>
      <c r="K38" s="3" t="str" cm="1">
        <f t="array" ref="K38">getRule(B38, C38)</f>
        <v>{"Type":"Compare", "Name":""},</v>
      </c>
    </row>
    <row r="39" spans="2:11" x14ac:dyDescent="0.35">
      <c r="B39" s="4">
        <f t="shared" si="1"/>
        <v>36</v>
      </c>
      <c r="D39" s="6" t="s">
        <v>14</v>
      </c>
      <c r="E39" s="4" t="str" cm="1">
        <f t="array" ref="E39">getFieldType(D39)</f>
        <v>Text</v>
      </c>
      <c r="G39" s="4" t="str">
        <f t="shared" si="0"/>
        <v xml:space="preserve">, </v>
      </c>
      <c r="I39" s="3" t="str" cm="1">
        <f t="array" ref="I39">getMapping(B39, C39, E39)</f>
        <v>{"Position":"36", "Name":"", "Type":"Text"},</v>
      </c>
      <c r="K39" s="3" t="str" cm="1">
        <f t="array" ref="K39">getRule(B39, C39)</f>
        <v>{"Type":"Compare", "Name":""},</v>
      </c>
    </row>
    <row r="40" spans="2:11" x14ac:dyDescent="0.35">
      <c r="B40" s="4">
        <f t="shared" si="1"/>
        <v>37</v>
      </c>
      <c r="D40" s="6" t="s">
        <v>14</v>
      </c>
      <c r="E40" s="4" t="str" cm="1">
        <f t="array" ref="E40">getFieldType(D40)</f>
        <v>Text</v>
      </c>
      <c r="G40" s="4" t="str">
        <f t="shared" si="0"/>
        <v xml:space="preserve">, </v>
      </c>
      <c r="I40" s="3" t="str" cm="1">
        <f t="array" ref="I40">getMapping(B40, C40, E40)</f>
        <v>{"Position":"37", "Name":"", "Type":"Text"},</v>
      </c>
      <c r="K40" s="3" t="str" cm="1">
        <f t="array" ref="K40">getRule(B40, C40)</f>
        <v>{"Type":"Compare", "Name":""},</v>
      </c>
    </row>
    <row r="41" spans="2:11" x14ac:dyDescent="0.35">
      <c r="B41" s="4">
        <f t="shared" si="1"/>
        <v>38</v>
      </c>
      <c r="D41" s="6" t="s">
        <v>14</v>
      </c>
      <c r="E41" s="4" t="str" cm="1">
        <f t="array" ref="E41">getFieldType(D41)</f>
        <v>Text</v>
      </c>
      <c r="G41" s="4" t="str">
        <f t="shared" si="0"/>
        <v xml:space="preserve">, </v>
      </c>
      <c r="I41" s="3" t="str" cm="1">
        <f t="array" ref="I41">getMapping(B41, C41, E41)</f>
        <v>{"Position":"38", "Name":"", "Type":"Text"},</v>
      </c>
      <c r="K41" s="3" t="str" cm="1">
        <f t="array" ref="K41">getRule(B41, C41)</f>
        <v>{"Type":"Compare", "Name":""},</v>
      </c>
    </row>
    <row r="42" spans="2:11" x14ac:dyDescent="0.35">
      <c r="B42" s="4">
        <f t="shared" si="1"/>
        <v>39</v>
      </c>
      <c r="D42" s="6" t="s">
        <v>14</v>
      </c>
      <c r="E42" s="4" t="str" cm="1">
        <f t="array" ref="E42">getFieldType(D42)</f>
        <v>Text</v>
      </c>
      <c r="G42" s="4" t="str">
        <f t="shared" si="0"/>
        <v xml:space="preserve">, </v>
      </c>
      <c r="I42" s="3" t="str" cm="1">
        <f t="array" ref="I42">getMapping(B42, C42, E42)</f>
        <v>{"Position":"39", "Name":"", "Type":"Text"},</v>
      </c>
      <c r="K42" s="3" t="str" cm="1">
        <f t="array" ref="K42">getRule(B42, C42)</f>
        <v>{"Type":"Compare", "Name":""},</v>
      </c>
    </row>
    <row r="43" spans="2:11" x14ac:dyDescent="0.35">
      <c r="B43" s="4">
        <f t="shared" si="1"/>
        <v>40</v>
      </c>
      <c r="D43" s="6" t="s">
        <v>10</v>
      </c>
      <c r="E43" s="4" t="str" cm="1">
        <f t="array" ref="E43">getFieldType(D43)</f>
        <v>Text</v>
      </c>
      <c r="G43" s="4" t="str">
        <f t="shared" si="0"/>
        <v xml:space="preserve">, </v>
      </c>
      <c r="I43" s="3" t="str" cm="1">
        <f t="array" ref="I43">getMapping(B43, C43, E43)</f>
        <v>{"Position":"40", "Name":"", "Type":"Text"},</v>
      </c>
      <c r="K43" s="3" t="str" cm="1">
        <f t="array" ref="K43">getRule(B43, C43)</f>
        <v>{"Type":"Compare", "Name":""},</v>
      </c>
    </row>
    <row r="44" spans="2:11" x14ac:dyDescent="0.35">
      <c r="B44" s="4">
        <f t="shared" si="1"/>
        <v>41</v>
      </c>
      <c r="D44" s="6" t="s">
        <v>10</v>
      </c>
      <c r="E44" s="4" t="str" cm="1">
        <f t="array" ref="E44">getFieldType(D44)</f>
        <v>Text</v>
      </c>
      <c r="G44" s="4" t="str">
        <f t="shared" si="0"/>
        <v xml:space="preserve">, </v>
      </c>
      <c r="I44" s="3" t="str" cm="1">
        <f t="array" ref="I44">getMapping(B44, C44, E44)</f>
        <v>{"Position":"41", "Name":"", "Type":"Text"},</v>
      </c>
      <c r="K44" s="3" t="str" cm="1">
        <f t="array" ref="K44">getRule(B44, C44)</f>
        <v>{"Type":"Compare", "Name":""},</v>
      </c>
    </row>
    <row r="45" spans="2:11" x14ac:dyDescent="0.35">
      <c r="B45" s="4">
        <f t="shared" si="1"/>
        <v>42</v>
      </c>
      <c r="D45" s="6" t="s">
        <v>14</v>
      </c>
      <c r="E45" s="4" t="str" cm="1">
        <f t="array" ref="E45">getFieldType(D45)</f>
        <v>Text</v>
      </c>
      <c r="G45" s="4" t="str">
        <f t="shared" si="0"/>
        <v xml:space="preserve">, </v>
      </c>
      <c r="I45" s="3" t="str" cm="1">
        <f t="array" ref="I45">getMapping(B45, C45, E45)</f>
        <v>{"Position":"42", "Name":"", "Type":"Text"},</v>
      </c>
      <c r="K45" s="3" t="str" cm="1">
        <f t="array" ref="K45">getRule(B45, C45)</f>
        <v>{"Type":"Compare", "Name":""},</v>
      </c>
    </row>
    <row r="46" spans="2:11" x14ac:dyDescent="0.35">
      <c r="B46" s="4">
        <f t="shared" si="1"/>
        <v>43</v>
      </c>
      <c r="D46" s="6" t="s">
        <v>10</v>
      </c>
      <c r="E46" s="4" t="str" cm="1">
        <f t="array" ref="E46">getFieldType(D46)</f>
        <v>Text</v>
      </c>
      <c r="G46" s="4" t="str">
        <f t="shared" si="0"/>
        <v xml:space="preserve">, </v>
      </c>
      <c r="I46" s="3" t="str" cm="1">
        <f t="array" ref="I46">getMapping(B46, C46, E46)</f>
        <v>{"Position":"43", "Name":"", "Type":"Text"},</v>
      </c>
      <c r="K46" s="3" t="str" cm="1">
        <f t="array" ref="K46">getRule(B46, C46)</f>
        <v>{"Type":"Compare", "Name":""},</v>
      </c>
    </row>
    <row r="47" spans="2:11" x14ac:dyDescent="0.35">
      <c r="B47" s="4">
        <f t="shared" si="1"/>
        <v>44</v>
      </c>
      <c r="D47" s="6" t="s">
        <v>10</v>
      </c>
      <c r="E47" s="4" t="str" cm="1">
        <f t="array" ref="E47">getFieldType(D47)</f>
        <v>Text</v>
      </c>
      <c r="G47" s="4" t="str">
        <f t="shared" si="0"/>
        <v xml:space="preserve">, </v>
      </c>
      <c r="I47" s="3" t="str" cm="1">
        <f t="array" ref="I47">getMapping(B47, C47, E47)</f>
        <v>{"Position":"44", "Name":"", "Type":"Text"},</v>
      </c>
      <c r="K47" s="3" t="str" cm="1">
        <f t="array" ref="K47">getRule(B47, C47)</f>
        <v>{"Type":"Compare", "Name":""},</v>
      </c>
    </row>
    <row r="48" spans="2:11" x14ac:dyDescent="0.35">
      <c r="B48" s="4">
        <f t="shared" si="1"/>
        <v>45</v>
      </c>
      <c r="D48" s="6" t="s">
        <v>10</v>
      </c>
      <c r="E48" s="4" t="str" cm="1">
        <f t="array" ref="E48">getFieldType(D48)</f>
        <v>Text</v>
      </c>
      <c r="G48" s="4" t="str">
        <f t="shared" si="0"/>
        <v xml:space="preserve">, </v>
      </c>
      <c r="I48" s="3" t="str" cm="1">
        <f t="array" ref="I48">getMapping(B48, C48, E48)</f>
        <v>{"Position":"45", "Name":"", "Type":"Text"},</v>
      </c>
      <c r="K48" s="3" t="str" cm="1">
        <f t="array" ref="K48">getRule(B48, C48)</f>
        <v>{"Type":"Compare", "Name":""},</v>
      </c>
    </row>
    <row r="49" spans="2:11" x14ac:dyDescent="0.35">
      <c r="B49" s="4">
        <f t="shared" si="1"/>
        <v>46</v>
      </c>
      <c r="D49" s="6" t="s">
        <v>10</v>
      </c>
      <c r="E49" s="4" t="str" cm="1">
        <f t="array" ref="E49">getFieldType(D49)</f>
        <v>Text</v>
      </c>
      <c r="G49" s="4" t="str">
        <f t="shared" si="0"/>
        <v xml:space="preserve">, </v>
      </c>
      <c r="I49" s="3" t="str" cm="1">
        <f t="array" ref="I49">getMapping(B49, C49, E49)</f>
        <v>{"Position":"46", "Name":"", "Type":"Text"},</v>
      </c>
      <c r="K49" s="3" t="str" cm="1">
        <f t="array" ref="K49">getRule(B49, C49)</f>
        <v>{"Type":"Compare", "Name":""},</v>
      </c>
    </row>
    <row r="50" spans="2:11" x14ac:dyDescent="0.35">
      <c r="B50" s="4">
        <f t="shared" si="1"/>
        <v>47</v>
      </c>
      <c r="D50" s="6" t="s">
        <v>11</v>
      </c>
      <c r="E50" s="4" t="str" cm="1">
        <f t="array" ref="E50">getFieldType(D50)</f>
        <v>Integer</v>
      </c>
      <c r="G50" s="4" t="str">
        <f t="shared" si="0"/>
        <v xml:space="preserve">, </v>
      </c>
      <c r="I50" s="3" t="str" cm="1">
        <f t="array" ref="I50">getMapping(B50, C50, E50)</f>
        <v>{"Position":"47", "Name":"", "Type":"Integer"},</v>
      </c>
      <c r="K50" s="3" t="str" cm="1">
        <f t="array" ref="K50">getRule(B50, C50)</f>
        <v>{"Type":"Compare", "Name":""},</v>
      </c>
    </row>
    <row r="51" spans="2:11" x14ac:dyDescent="0.35">
      <c r="B51" s="4">
        <f t="shared" si="1"/>
        <v>48</v>
      </c>
      <c r="D51" s="6" t="s">
        <v>10</v>
      </c>
      <c r="E51" s="4" t="str" cm="1">
        <f t="array" ref="E51">getFieldType(D51)</f>
        <v>Text</v>
      </c>
      <c r="G51" s="4" t="str">
        <f t="shared" si="0"/>
        <v xml:space="preserve">, </v>
      </c>
      <c r="I51" s="3" t="str" cm="1">
        <f t="array" ref="I51">getMapping(B51, C51, E51)</f>
        <v>{"Position":"48", "Name":"", "Type":"Text"},</v>
      </c>
      <c r="K51" s="3" t="str" cm="1">
        <f t="array" ref="K51">getRule(B51, C51)</f>
        <v>{"Type":"Compare", "Name":""},</v>
      </c>
    </row>
    <row r="52" spans="2:11" x14ac:dyDescent="0.35">
      <c r="B52" s="4">
        <f t="shared" si="1"/>
        <v>49</v>
      </c>
      <c r="D52" s="6" t="s">
        <v>15</v>
      </c>
      <c r="E52" s="4" t="str" cm="1">
        <f t="array" ref="E52">getFieldType(D52)</f>
        <v>Integer</v>
      </c>
      <c r="G52" s="4" t="str">
        <f t="shared" si="0"/>
        <v xml:space="preserve">, </v>
      </c>
      <c r="I52" s="3" t="str" cm="1">
        <f t="array" ref="I52">getMapping(B52, C52, E52)</f>
        <v>{"Position":"49", "Name":"", "Type":"Integer"},</v>
      </c>
      <c r="K52" s="3" t="str" cm="1">
        <f t="array" ref="K52">getRule(B52, C52)</f>
        <v>{"Type":"Compare", "Name":""},</v>
      </c>
    </row>
    <row r="53" spans="2:11" x14ac:dyDescent="0.35">
      <c r="B53" s="4">
        <f t="shared" si="1"/>
        <v>50</v>
      </c>
      <c r="D53" s="6" t="s">
        <v>10</v>
      </c>
      <c r="E53" s="4" t="str" cm="1">
        <f t="array" ref="E53">getFieldType(D53)</f>
        <v>Text</v>
      </c>
      <c r="G53" s="4" t="str">
        <f t="shared" si="0"/>
        <v xml:space="preserve">, </v>
      </c>
      <c r="I53" s="3" t="str" cm="1">
        <f t="array" ref="I53">getMapping(B53, C53, E53)</f>
        <v>{"Position":"50", "Name":"", "Type":"Text"},</v>
      </c>
      <c r="K53" s="3" t="str" cm="1">
        <f t="array" ref="K53">getRule(B53, C53)</f>
        <v>{"Type":"Compare", "Name":""},</v>
      </c>
    </row>
    <row r="54" spans="2:11" x14ac:dyDescent="0.35">
      <c r="B54" s="4">
        <f t="shared" si="1"/>
        <v>51</v>
      </c>
      <c r="D54" s="6" t="s">
        <v>10</v>
      </c>
      <c r="E54" s="4" t="str" cm="1">
        <f t="array" ref="E54">getFieldType(D54)</f>
        <v>Text</v>
      </c>
      <c r="G54" s="4" t="str">
        <f t="shared" si="0"/>
        <v xml:space="preserve">, </v>
      </c>
      <c r="I54" s="3" t="str" cm="1">
        <f t="array" ref="I54">getMapping(B54, C54, E54)</f>
        <v>{"Position":"51", "Name":"", "Type":"Text"},</v>
      </c>
      <c r="K54" s="3" t="str" cm="1">
        <f t="array" ref="K54">getRule(B54, C54)</f>
        <v>{"Type":"Compare", "Name":""},</v>
      </c>
    </row>
    <row r="55" spans="2:11" x14ac:dyDescent="0.35">
      <c r="B55" s="4">
        <f t="shared" si="1"/>
        <v>52</v>
      </c>
      <c r="D55" s="6" t="s">
        <v>14</v>
      </c>
      <c r="E55" s="4" t="str" cm="1">
        <f t="array" ref="E55">getFieldType(D55)</f>
        <v>Text</v>
      </c>
      <c r="G55" s="4" t="str">
        <f t="shared" si="0"/>
        <v xml:space="preserve">, </v>
      </c>
      <c r="I55" s="3" t="str" cm="1">
        <f t="array" ref="I55">getMapping(B55, C55, E55)</f>
        <v>{"Position":"52", "Name":"", "Type":"Text"},</v>
      </c>
      <c r="K55" s="3" t="str" cm="1">
        <f t="array" ref="K55">getRule(B55, C55)</f>
        <v>{"Type":"Compare", "Name":""},</v>
      </c>
    </row>
    <row r="56" spans="2:11" x14ac:dyDescent="0.35">
      <c r="B56" s="4">
        <f t="shared" si="1"/>
        <v>53</v>
      </c>
      <c r="D56" s="6" t="s">
        <v>10</v>
      </c>
      <c r="E56" s="4" t="str" cm="1">
        <f t="array" ref="E56">getFieldType(D56)</f>
        <v>Text</v>
      </c>
      <c r="G56" s="4" t="str">
        <f t="shared" si="0"/>
        <v xml:space="preserve">, </v>
      </c>
      <c r="I56" s="3" t="str" cm="1">
        <f t="array" ref="I56">getMapping(B56, C56, E56)</f>
        <v>{"Position":"53", "Name":"", "Type":"Text"},</v>
      </c>
      <c r="K56" s="3" t="str" cm="1">
        <f t="array" ref="K56">getRule(B56, C56)</f>
        <v>{"Type":"Compare", "Name":""},</v>
      </c>
    </row>
    <row r="57" spans="2:11" x14ac:dyDescent="0.35">
      <c r="B57" s="4">
        <f t="shared" si="1"/>
        <v>54</v>
      </c>
      <c r="D57" s="6" t="s">
        <v>14</v>
      </c>
      <c r="E57" s="4" t="str" cm="1">
        <f t="array" ref="E57">getFieldType(D57)</f>
        <v>Text</v>
      </c>
      <c r="G57" s="4" t="str">
        <f t="shared" si="0"/>
        <v xml:space="preserve">, </v>
      </c>
      <c r="I57" s="3" t="str" cm="1">
        <f t="array" ref="I57">getMapping(B57, C57, E57)</f>
        <v>{"Position":"54", "Name":"", "Type":"Text"},</v>
      </c>
      <c r="K57" s="3" t="str" cm="1">
        <f t="array" ref="K57">getRule(B57, C57)</f>
        <v>{"Type":"Compare", "Name":""},</v>
      </c>
    </row>
    <row r="58" spans="2:11" x14ac:dyDescent="0.35">
      <c r="B58" s="4">
        <f t="shared" si="1"/>
        <v>55</v>
      </c>
      <c r="D58" s="6" t="s">
        <v>14</v>
      </c>
      <c r="E58" s="4" t="str" cm="1">
        <f t="array" ref="E58">getFieldType(D58)</f>
        <v>Text</v>
      </c>
      <c r="G58" s="4" t="str">
        <f t="shared" si="0"/>
        <v xml:space="preserve">, </v>
      </c>
      <c r="I58" s="3" t="str" cm="1">
        <f t="array" ref="I58">getMapping(B58, C58, E58)</f>
        <v>{"Position":"55", "Name":"", "Type":"Text"},</v>
      </c>
      <c r="K58" s="3" t="str" cm="1">
        <f t="array" ref="K58">getRule(B58, C58)</f>
        <v>{"Type":"Compare", "Name":""},</v>
      </c>
    </row>
    <row r="59" spans="2:11" x14ac:dyDescent="0.35">
      <c r="B59" s="4">
        <f t="shared" si="1"/>
        <v>56</v>
      </c>
      <c r="D59" s="6" t="s">
        <v>14</v>
      </c>
      <c r="E59" s="4" t="str" cm="1">
        <f t="array" ref="E59">getFieldType(D59)</f>
        <v>Text</v>
      </c>
      <c r="G59" s="4" t="str">
        <f t="shared" si="0"/>
        <v xml:space="preserve">, </v>
      </c>
      <c r="I59" s="3" t="str" cm="1">
        <f t="array" ref="I59">getMapping(B59, C59, E59)</f>
        <v>{"Position":"56", "Name":"", "Type":"Text"},</v>
      </c>
      <c r="K59" s="3" t="str" cm="1">
        <f t="array" ref="K59">getRule(B59, C59)</f>
        <v>{"Type":"Compare", "Name":""},</v>
      </c>
    </row>
    <row r="60" spans="2:11" x14ac:dyDescent="0.35">
      <c r="B60" s="4">
        <f t="shared" si="1"/>
        <v>57</v>
      </c>
      <c r="D60" s="6" t="s">
        <v>14</v>
      </c>
      <c r="E60" s="4" t="str" cm="1">
        <f t="array" ref="E60">getFieldType(D60)</f>
        <v>Text</v>
      </c>
      <c r="G60" s="4" t="str">
        <f t="shared" si="0"/>
        <v xml:space="preserve">, </v>
      </c>
      <c r="I60" s="3" t="str" cm="1">
        <f t="array" ref="I60">getMapping(B60, C60, E60)</f>
        <v>{"Position":"57", "Name":"", "Type":"Text"},</v>
      </c>
      <c r="K60" s="3" t="str" cm="1">
        <f t="array" ref="K60">getRule(B60, C60)</f>
        <v>{"Type":"Compare", "Name":""},</v>
      </c>
    </row>
    <row r="61" spans="2:11" x14ac:dyDescent="0.35">
      <c r="B61" s="4">
        <f t="shared" si="1"/>
        <v>58</v>
      </c>
      <c r="D61" s="6" t="s">
        <v>15</v>
      </c>
      <c r="E61" s="4" t="str" cm="1">
        <f t="array" ref="E61">getFieldType(D61)</f>
        <v>Integer</v>
      </c>
      <c r="G61" s="4" t="str">
        <f t="shared" si="0"/>
        <v xml:space="preserve">, </v>
      </c>
      <c r="I61" s="3" t="str" cm="1">
        <f t="array" ref="I61">getMapping(B61, C61, E61)</f>
        <v>{"Position":"58", "Name":"", "Type":"Integer"},</v>
      </c>
      <c r="K61" s="3" t="str" cm="1">
        <f t="array" ref="K61">getRule(B61, C61)</f>
        <v>{"Type":"Compare", "Name":""},</v>
      </c>
    </row>
    <row r="62" spans="2:11" x14ac:dyDescent="0.35">
      <c r="B62" s="4">
        <f t="shared" si="1"/>
        <v>59</v>
      </c>
      <c r="D62" s="6" t="s">
        <v>12</v>
      </c>
      <c r="E62" s="4" t="str" cm="1">
        <f t="array" ref="E62">getFieldType(D62)</f>
        <v>Text</v>
      </c>
      <c r="G62" s="4" t="str">
        <f t="shared" si="0"/>
        <v xml:space="preserve">, </v>
      </c>
      <c r="I62" s="3" t="str" cm="1">
        <f t="array" ref="I62">getMapping(B62, C62, E62)</f>
        <v>{"Position":"59", "Name":"", "Type":"Text"},</v>
      </c>
      <c r="K62" s="3" t="str" cm="1">
        <f t="array" ref="K62">getRule(B62, C62)</f>
        <v>{"Type":"Compare", "Name":""},</v>
      </c>
    </row>
    <row r="63" spans="2:11" x14ac:dyDescent="0.35">
      <c r="B63" s="4">
        <f t="shared" si="1"/>
        <v>60</v>
      </c>
      <c r="D63" s="6" t="s">
        <v>14</v>
      </c>
      <c r="E63" s="4" t="str" cm="1">
        <f t="array" ref="E63">getFieldType(D63)</f>
        <v>Text</v>
      </c>
      <c r="G63" s="4" t="str">
        <f t="shared" si="0"/>
        <v xml:space="preserve">, </v>
      </c>
      <c r="I63" s="3" t="str" cm="1">
        <f t="array" ref="I63">getMapping(B63, C63, E63)</f>
        <v>{"Position":"60", "Name":"", "Type":"Text"},</v>
      </c>
      <c r="K63" s="3" t="str" cm="1">
        <f t="array" ref="K63">getRule(B63, C63)</f>
        <v>{"Type":"Compare", "Name":""},</v>
      </c>
    </row>
    <row r="64" spans="2:11" x14ac:dyDescent="0.35">
      <c r="B64" s="4">
        <f t="shared" si="1"/>
        <v>61</v>
      </c>
      <c r="D64" s="6" t="s">
        <v>15</v>
      </c>
      <c r="E64" s="4" t="str" cm="1">
        <f t="array" ref="E64">getFieldType(D64)</f>
        <v>Integer</v>
      </c>
      <c r="G64" s="4" t="str">
        <f t="shared" si="0"/>
        <v xml:space="preserve">, </v>
      </c>
      <c r="I64" s="3" t="str" cm="1">
        <f t="array" ref="I64">getMapping(B64, C64, E64)</f>
        <v>{"Position":"61", "Name":"", "Type":"Integer"},</v>
      </c>
      <c r="K64" s="3" t="str" cm="1">
        <f t="array" ref="K64">getRule(B64, C64)</f>
        <v>{"Type":"Compare", "Name":""},</v>
      </c>
    </row>
    <row r="65" spans="2:11" x14ac:dyDescent="0.35">
      <c r="B65" s="4">
        <f t="shared" si="1"/>
        <v>62</v>
      </c>
      <c r="D65" s="6" t="s">
        <v>10</v>
      </c>
      <c r="E65" s="4" t="str" cm="1">
        <f t="array" ref="E65">getFieldType(D65)</f>
        <v>Text</v>
      </c>
      <c r="G65" s="4" t="str">
        <f t="shared" si="0"/>
        <v xml:space="preserve">, </v>
      </c>
      <c r="I65" s="3" t="str" cm="1">
        <f t="array" ref="I65">getMapping(B65, C65, E65)</f>
        <v>{"Position":"62", "Name":"", "Type":"Text"},</v>
      </c>
      <c r="K65" s="3" t="str" cm="1">
        <f t="array" ref="K65">getRule(B65, C65)</f>
        <v>{"Type":"Compare", "Name":""},</v>
      </c>
    </row>
    <row r="66" spans="2:11" x14ac:dyDescent="0.35">
      <c r="B66" s="4">
        <f t="shared" si="1"/>
        <v>63</v>
      </c>
      <c r="D66" s="6" t="s">
        <v>11</v>
      </c>
      <c r="E66" s="4" t="str" cm="1">
        <f t="array" ref="E66">getFieldType(D66)</f>
        <v>Integer</v>
      </c>
      <c r="G66" s="4" t="str">
        <f t="shared" si="0"/>
        <v xml:space="preserve">, </v>
      </c>
      <c r="I66" s="3" t="str" cm="1">
        <f t="array" ref="I66">getMapping(B66, C66, E66)</f>
        <v>{"Position":"63", "Name":"", "Type":"Integer"},</v>
      </c>
      <c r="K66" s="3" t="str" cm="1">
        <f t="array" ref="K66">getRule(B66, C66)</f>
        <v>{"Type":"Compare", "Name":""},</v>
      </c>
    </row>
    <row r="67" spans="2:11" x14ac:dyDescent="0.35">
      <c r="B67" s="4">
        <f t="shared" si="1"/>
        <v>64</v>
      </c>
      <c r="D67" s="6" t="s">
        <v>15</v>
      </c>
      <c r="E67" s="4" t="str" cm="1">
        <f t="array" ref="E67">getFieldType(D67)</f>
        <v>Integer</v>
      </c>
      <c r="G67" s="4" t="str">
        <f t="shared" ref="G67:G88" si="2">C67 &amp; ", "</f>
        <v xml:space="preserve">, </v>
      </c>
      <c r="I67" s="3" t="str" cm="1">
        <f t="array" ref="I67">getMapping(B67, C67, E67)</f>
        <v>{"Position":"64", "Name":"", "Type":"Integer"},</v>
      </c>
      <c r="K67" s="3" t="str" cm="1">
        <f t="array" ref="K67">getRule(B67, C67)</f>
        <v>{"Type":"Compare", "Name":""},</v>
      </c>
    </row>
    <row r="68" spans="2:11" x14ac:dyDescent="0.35">
      <c r="B68" s="4">
        <f t="shared" si="1"/>
        <v>65</v>
      </c>
      <c r="D68" s="6" t="s">
        <v>10</v>
      </c>
      <c r="E68" s="4" t="str" cm="1">
        <f t="array" ref="E68">getFieldType(D68)</f>
        <v>Text</v>
      </c>
      <c r="G68" s="4" t="str">
        <f t="shared" si="2"/>
        <v xml:space="preserve">, </v>
      </c>
      <c r="I68" s="3" t="str" cm="1">
        <f t="array" ref="I68">getMapping(B68, C68, E68)</f>
        <v>{"Position":"65", "Name":"", "Type":"Text"},</v>
      </c>
      <c r="K68" s="3" t="str" cm="1">
        <f t="array" ref="K68">getRule(B68, C68)</f>
        <v>{"Type":"Compare", "Name":""},</v>
      </c>
    </row>
    <row r="69" spans="2:11" x14ac:dyDescent="0.35">
      <c r="B69" s="4">
        <f t="shared" si="1"/>
        <v>66</v>
      </c>
      <c r="D69" s="6" t="s">
        <v>14</v>
      </c>
      <c r="E69" s="4" t="str" cm="1">
        <f t="array" ref="E69">getFieldType(D69)</f>
        <v>Text</v>
      </c>
      <c r="G69" s="4" t="str">
        <f t="shared" si="2"/>
        <v xml:space="preserve">, </v>
      </c>
      <c r="I69" s="3" t="str" cm="1">
        <f t="array" ref="I69">getMapping(B69, C69, E69)</f>
        <v>{"Position":"66", "Name":"", "Type":"Text"},</v>
      </c>
      <c r="K69" s="3" t="str" cm="1">
        <f t="array" ref="K69">getRule(B69, C69)</f>
        <v>{"Type":"Compare", "Name":""},</v>
      </c>
    </row>
    <row r="70" spans="2:11" x14ac:dyDescent="0.35">
      <c r="B70" s="4">
        <f t="shared" ref="B70:B88" si="3">B69+1</f>
        <v>67</v>
      </c>
      <c r="D70" s="6" t="s">
        <v>11</v>
      </c>
      <c r="E70" s="4" t="str" cm="1">
        <f t="array" ref="E70">getFieldType(D70)</f>
        <v>Integer</v>
      </c>
      <c r="G70" s="4" t="str">
        <f t="shared" si="2"/>
        <v xml:space="preserve">, </v>
      </c>
      <c r="I70" s="3" t="str" cm="1">
        <f t="array" ref="I70">getMapping(B70, C70, E70)</f>
        <v>{"Position":"67", "Name":"", "Type":"Integer"},</v>
      </c>
      <c r="K70" s="3" t="str" cm="1">
        <f t="array" ref="K70">getRule(B70, C70)</f>
        <v>{"Type":"Compare", "Name":""},</v>
      </c>
    </row>
    <row r="71" spans="2:11" x14ac:dyDescent="0.35">
      <c r="B71" s="4">
        <f t="shared" si="3"/>
        <v>68</v>
      </c>
      <c r="D71" s="6" t="s">
        <v>10</v>
      </c>
      <c r="E71" s="4" t="str" cm="1">
        <f t="array" ref="E71">getFieldType(D71)</f>
        <v>Text</v>
      </c>
      <c r="G71" s="4" t="str">
        <f t="shared" si="2"/>
        <v xml:space="preserve">, </v>
      </c>
      <c r="I71" s="3" t="str" cm="1">
        <f t="array" ref="I71">getMapping(B71, C71, E71)</f>
        <v>{"Position":"68", "Name":"", "Type":"Text"},</v>
      </c>
      <c r="K71" s="3" t="str" cm="1">
        <f t="array" ref="K71">getRule(B71, C71)</f>
        <v>{"Type":"Compare", "Name":""},</v>
      </c>
    </row>
    <row r="72" spans="2:11" x14ac:dyDescent="0.35">
      <c r="B72" s="4">
        <f t="shared" si="3"/>
        <v>69</v>
      </c>
      <c r="D72" s="6" t="s">
        <v>16</v>
      </c>
      <c r="E72" s="4" t="str" cm="1">
        <f t="array" ref="E72">getFieldType(D72)</f>
        <v>Integer</v>
      </c>
      <c r="G72" s="4" t="str">
        <f t="shared" si="2"/>
        <v xml:space="preserve">, </v>
      </c>
      <c r="I72" s="3" t="str" cm="1">
        <f t="array" ref="I72">getMapping(B72, C72, E72)</f>
        <v>{"Position":"69", "Name":"", "Type":"Integer"},</v>
      </c>
      <c r="K72" s="3" t="str" cm="1">
        <f t="array" ref="K72">getRule(B72, C72)</f>
        <v>{"Type":"Compare", "Name":""},</v>
      </c>
    </row>
    <row r="73" spans="2:11" x14ac:dyDescent="0.35">
      <c r="B73" s="4">
        <f t="shared" si="3"/>
        <v>70</v>
      </c>
      <c r="D73" s="6" t="s">
        <v>16</v>
      </c>
      <c r="E73" s="4" t="str" cm="1">
        <f t="array" ref="E73">getFieldType(D73)</f>
        <v>Integer</v>
      </c>
      <c r="G73" s="4" t="str">
        <f t="shared" si="2"/>
        <v xml:space="preserve">, </v>
      </c>
      <c r="I73" s="3" t="str" cm="1">
        <f t="array" ref="I73">getMapping(B73, C73, E73)</f>
        <v>{"Position":"70", "Name":"", "Type":"Integer"},</v>
      </c>
      <c r="K73" s="3" t="str" cm="1">
        <f t="array" ref="K73">getRule(B73, C73)</f>
        <v>{"Type":"Compare", "Name":""},</v>
      </c>
    </row>
    <row r="74" spans="2:11" x14ac:dyDescent="0.35">
      <c r="B74" s="4">
        <f t="shared" si="3"/>
        <v>71</v>
      </c>
      <c r="D74" s="6" t="s">
        <v>10</v>
      </c>
      <c r="E74" s="4" t="str" cm="1">
        <f t="array" ref="E74">getFieldType(D74)</f>
        <v>Text</v>
      </c>
      <c r="G74" s="4" t="str">
        <f t="shared" si="2"/>
        <v xml:space="preserve">, </v>
      </c>
      <c r="I74" s="3" t="str" cm="1">
        <f t="array" ref="I74">getMapping(B74, C74, E74)</f>
        <v>{"Position":"71", "Name":"", "Type":"Text"},</v>
      </c>
      <c r="K74" s="3" t="str" cm="1">
        <f t="array" ref="K74">getRule(B74, C74)</f>
        <v>{"Type":"Compare", "Name":""},</v>
      </c>
    </row>
    <row r="75" spans="2:11" x14ac:dyDescent="0.35">
      <c r="B75" s="4">
        <f t="shared" si="3"/>
        <v>72</v>
      </c>
      <c r="D75" s="6" t="s">
        <v>10</v>
      </c>
      <c r="E75" s="4" t="str" cm="1">
        <f t="array" ref="E75">getFieldType(D75)</f>
        <v>Text</v>
      </c>
      <c r="G75" s="4" t="str">
        <f t="shared" si="2"/>
        <v xml:space="preserve">, </v>
      </c>
      <c r="I75" s="3" t="str" cm="1">
        <f t="array" ref="I75">getMapping(B75, C75, E75)</f>
        <v>{"Position":"72", "Name":"", "Type":"Text"},</v>
      </c>
      <c r="K75" s="3" t="str" cm="1">
        <f t="array" ref="K75">getRule(B75, C75)</f>
        <v>{"Type":"Compare", "Name":""},</v>
      </c>
    </row>
    <row r="76" spans="2:11" x14ac:dyDescent="0.35">
      <c r="B76" s="4">
        <f t="shared" si="3"/>
        <v>73</v>
      </c>
      <c r="D76" s="6" t="s">
        <v>11</v>
      </c>
      <c r="E76" s="4" t="str" cm="1">
        <f t="array" ref="E76">getFieldType(D76)</f>
        <v>Integer</v>
      </c>
      <c r="G76" s="4" t="str">
        <f t="shared" si="2"/>
        <v xml:space="preserve">, </v>
      </c>
      <c r="I76" s="3" t="str" cm="1">
        <f t="array" ref="I76">getMapping(B76, C76, E76)</f>
        <v>{"Position":"73", "Name":"", "Type":"Integer"},</v>
      </c>
      <c r="K76" s="3" t="str" cm="1">
        <f t="array" ref="K76">getRule(B76, C76)</f>
        <v>{"Type":"Compare", "Name":""},</v>
      </c>
    </row>
    <row r="77" spans="2:11" x14ac:dyDescent="0.35">
      <c r="B77" s="4">
        <f t="shared" si="3"/>
        <v>74</v>
      </c>
      <c r="D77" s="6" t="s">
        <v>14</v>
      </c>
      <c r="E77" s="4" t="str" cm="1">
        <f t="array" ref="E77">getFieldType(D77)</f>
        <v>Text</v>
      </c>
      <c r="G77" s="4" t="str">
        <f t="shared" si="2"/>
        <v xml:space="preserve">, </v>
      </c>
      <c r="I77" s="3" t="str" cm="1">
        <f t="array" ref="I77">getMapping(B77, C77, E77)</f>
        <v>{"Position":"74", "Name":"", "Type":"Text"},</v>
      </c>
      <c r="K77" s="3" t="str" cm="1">
        <f t="array" ref="K77">getRule(B77, C77)</f>
        <v>{"Type":"Compare", "Name":""},</v>
      </c>
    </row>
    <row r="78" spans="2:11" x14ac:dyDescent="0.35">
      <c r="B78" s="4">
        <f t="shared" si="3"/>
        <v>75</v>
      </c>
      <c r="D78" s="6" t="s">
        <v>14</v>
      </c>
      <c r="E78" s="4" t="str" cm="1">
        <f t="array" ref="E78">getFieldType(D78)</f>
        <v>Text</v>
      </c>
      <c r="G78" s="4" t="str">
        <f t="shared" si="2"/>
        <v xml:space="preserve">, </v>
      </c>
      <c r="I78" s="3" t="str" cm="1">
        <f t="array" ref="I78">getMapping(B78, C78, E78)</f>
        <v>{"Position":"75", "Name":"", "Type":"Text"},</v>
      </c>
      <c r="K78" s="3" t="str" cm="1">
        <f t="array" ref="K78">getRule(B78, C78)</f>
        <v>{"Type":"Compare", "Name":""},</v>
      </c>
    </row>
    <row r="79" spans="2:11" x14ac:dyDescent="0.35">
      <c r="B79" s="4">
        <f t="shared" si="3"/>
        <v>76</v>
      </c>
      <c r="D79" s="6" t="s">
        <v>14</v>
      </c>
      <c r="E79" s="4" t="str" cm="1">
        <f t="array" ref="E79">getFieldType(D79)</f>
        <v>Text</v>
      </c>
      <c r="G79" s="4" t="str">
        <f t="shared" si="2"/>
        <v xml:space="preserve">, </v>
      </c>
      <c r="I79" s="3" t="str" cm="1">
        <f t="array" ref="I79">getMapping(B79, C79, E79)</f>
        <v>{"Position":"76", "Name":"", "Type":"Text"},</v>
      </c>
      <c r="K79" s="3" t="str" cm="1">
        <f t="array" ref="K79">getRule(B79, C79)</f>
        <v>{"Type":"Compare", "Name":""},</v>
      </c>
    </row>
    <row r="80" spans="2:11" x14ac:dyDescent="0.35">
      <c r="B80" s="4">
        <f t="shared" si="3"/>
        <v>77</v>
      </c>
      <c r="D80" s="6" t="s">
        <v>11</v>
      </c>
      <c r="E80" s="4" t="str" cm="1">
        <f t="array" ref="E80">getFieldType(D80)</f>
        <v>Integer</v>
      </c>
      <c r="G80" s="4" t="str">
        <f t="shared" si="2"/>
        <v xml:space="preserve">, </v>
      </c>
      <c r="I80" s="3" t="str" cm="1">
        <f t="array" ref="I80">getMapping(B80, C80, E80)</f>
        <v>{"Position":"77", "Name":"", "Type":"Integer"},</v>
      </c>
      <c r="K80" s="3" t="str" cm="1">
        <f t="array" ref="K80">getRule(B80, C80)</f>
        <v>{"Type":"Compare", "Name":""},</v>
      </c>
    </row>
    <row r="81" spans="2:13" x14ac:dyDescent="0.35">
      <c r="B81" s="4">
        <f t="shared" si="3"/>
        <v>78</v>
      </c>
      <c r="D81" s="6" t="s">
        <v>11</v>
      </c>
      <c r="E81" s="4" t="str" cm="1">
        <f t="array" ref="E81">getFieldType(D81)</f>
        <v>Integer</v>
      </c>
      <c r="G81" s="4" t="str">
        <f t="shared" si="2"/>
        <v xml:space="preserve">, </v>
      </c>
      <c r="I81" s="3" t="str" cm="1">
        <f t="array" ref="I81">getMapping(B81, C81, E81)</f>
        <v>{"Position":"78", "Name":"", "Type":"Integer"},</v>
      </c>
      <c r="K81" s="3" t="str" cm="1">
        <f t="array" ref="K81">getRule(B81, C81)</f>
        <v>{"Type":"Compare", "Name":""},</v>
      </c>
    </row>
    <row r="82" spans="2:13" x14ac:dyDescent="0.35">
      <c r="B82" s="4">
        <f t="shared" si="3"/>
        <v>79</v>
      </c>
      <c r="D82" s="6" t="s">
        <v>14</v>
      </c>
      <c r="E82" s="4" t="str" cm="1">
        <f t="array" ref="E82">getFieldType(D82)</f>
        <v>Text</v>
      </c>
      <c r="G82" s="4" t="str">
        <f t="shared" si="2"/>
        <v xml:space="preserve">, </v>
      </c>
      <c r="I82" s="3" t="str" cm="1">
        <f t="array" ref="I82">getMapping(B82, C82, E82)</f>
        <v>{"Position":"79", "Name":"", "Type":"Text"},</v>
      </c>
      <c r="K82" s="3" t="str" cm="1">
        <f t="array" ref="K82">getRule(B82, C82)</f>
        <v>{"Type":"Compare", "Name":""},</v>
      </c>
    </row>
    <row r="83" spans="2:13" x14ac:dyDescent="0.35">
      <c r="B83" s="4">
        <f t="shared" si="3"/>
        <v>80</v>
      </c>
      <c r="D83" s="6" t="s">
        <v>14</v>
      </c>
      <c r="E83" s="4" t="str" cm="1">
        <f t="array" ref="E83">getFieldType(D83)</f>
        <v>Text</v>
      </c>
      <c r="G83" s="4" t="str">
        <f t="shared" si="2"/>
        <v xml:space="preserve">, </v>
      </c>
      <c r="I83" s="3" t="str" cm="1">
        <f t="array" ref="I83">getMapping(B83, C83, E83)</f>
        <v>{"Position":"80", "Name":"", "Type":"Text"},</v>
      </c>
      <c r="K83" s="3" t="str" cm="1">
        <f t="array" ref="K83">getRule(B83, C83)</f>
        <v>{"Type":"Compare", "Name":""},</v>
      </c>
    </row>
    <row r="84" spans="2:13" x14ac:dyDescent="0.35">
      <c r="B84" s="4">
        <f t="shared" si="3"/>
        <v>81</v>
      </c>
      <c r="D84" s="6" t="s">
        <v>14</v>
      </c>
      <c r="E84" s="4" t="str" cm="1">
        <f t="array" ref="E84">getFieldType(D84)</f>
        <v>Text</v>
      </c>
      <c r="G84" s="4" t="str">
        <f t="shared" si="2"/>
        <v xml:space="preserve">, </v>
      </c>
      <c r="I84" s="3" t="str" cm="1">
        <f t="array" ref="I84">getMapping(B84, C84, E84)</f>
        <v>{"Position":"81", "Name":"", "Type":"Text"},</v>
      </c>
      <c r="K84" s="3" t="str" cm="1">
        <f t="array" ref="K84">getRule(B84, C84)</f>
        <v>{"Type":"Compare", "Name":""},</v>
      </c>
    </row>
    <row r="85" spans="2:13" x14ac:dyDescent="0.35">
      <c r="B85" s="4">
        <f t="shared" si="3"/>
        <v>82</v>
      </c>
      <c r="D85" s="6" t="s">
        <v>14</v>
      </c>
      <c r="E85" s="4" t="str" cm="1">
        <f t="array" ref="E85">getFieldType(D85)</f>
        <v>Text</v>
      </c>
      <c r="G85" s="4" t="str">
        <f t="shared" si="2"/>
        <v xml:space="preserve">, </v>
      </c>
      <c r="I85" s="3" t="str" cm="1">
        <f t="array" ref="I85">getMapping(B85, C85, E85)</f>
        <v>{"Position":"82", "Name":"", "Type":"Text"},</v>
      </c>
      <c r="K85" s="3" t="str" cm="1">
        <f t="array" ref="K85">getRule(B85, C85)</f>
        <v>{"Type":"Compare", "Name":""},</v>
      </c>
    </row>
    <row r="86" spans="2:13" x14ac:dyDescent="0.35">
      <c r="B86" s="4">
        <f t="shared" si="3"/>
        <v>83</v>
      </c>
      <c r="D86" s="6" t="s">
        <v>14</v>
      </c>
      <c r="E86" s="4" t="str" cm="1">
        <f t="array" ref="E86">getFieldType(D86)</f>
        <v>Text</v>
      </c>
      <c r="G86" s="4" t="str">
        <f t="shared" si="2"/>
        <v xml:space="preserve">, </v>
      </c>
      <c r="I86" s="3" t="str" cm="1">
        <f t="array" ref="I86">getMapping(B86, C86, E86)</f>
        <v>{"Position":"83", "Name":"", "Type":"Text"},</v>
      </c>
      <c r="K86" s="3" t="str" cm="1">
        <f t="array" ref="K86">getRule(B86, C86)</f>
        <v>{"Type":"Compare", "Name":""},</v>
      </c>
    </row>
    <row r="87" spans="2:13" x14ac:dyDescent="0.35">
      <c r="B87" s="4">
        <f t="shared" si="3"/>
        <v>84</v>
      </c>
      <c r="D87" s="6" t="s">
        <v>14</v>
      </c>
      <c r="E87" s="4" t="str" cm="1">
        <f t="array" ref="E87">getFieldType(D87)</f>
        <v>Text</v>
      </c>
      <c r="G87" s="4" t="str">
        <f t="shared" si="2"/>
        <v xml:space="preserve">, </v>
      </c>
      <c r="I87" s="3" t="str" cm="1">
        <f t="array" ref="I87">getMapping(B87, C87, E87)</f>
        <v>{"Position":"84", "Name":"", "Type":"Text"},</v>
      </c>
      <c r="K87" s="3" t="str" cm="1">
        <f t="array" ref="K87">getRule(B87, C87)</f>
        <v>{"Type":"Compare", "Name":""},</v>
      </c>
    </row>
    <row r="88" spans="2:13" x14ac:dyDescent="0.35">
      <c r="B88" s="4">
        <f t="shared" si="3"/>
        <v>85</v>
      </c>
      <c r="D88" s="6" t="s">
        <v>16</v>
      </c>
      <c r="E88" s="4" t="str" cm="1">
        <f t="array" ref="E88">getFieldType(D88)</f>
        <v>Integer</v>
      </c>
      <c r="G88" s="4" t="str">
        <f t="shared" si="2"/>
        <v xml:space="preserve">, </v>
      </c>
      <c r="I88" s="3" t="str" cm="1">
        <f t="array" ref="I88">getMapping(B88, C88, E88)</f>
        <v>{"Position":"85", "Name":"", "Type":"Integer"},</v>
      </c>
      <c r="K88" s="3" t="str" cm="1">
        <f t="array" ref="K88">getRule(B88, C88)</f>
        <v>{"Type":"Compare", "Name":""},</v>
      </c>
    </row>
    <row r="89" spans="2:13" x14ac:dyDescent="0.35">
      <c r="B89" s="4" t="s">
        <v>0</v>
      </c>
      <c r="C89" s="7" t="s">
        <v>0</v>
      </c>
      <c r="D89" s="6" t="s">
        <v>0</v>
      </c>
      <c r="E89" s="4" t="s">
        <v>0</v>
      </c>
      <c r="F89" s="7" t="s">
        <v>0</v>
      </c>
      <c r="G89" s="4" t="s">
        <v>0</v>
      </c>
      <c r="H89" s="7" t="s">
        <v>0</v>
      </c>
      <c r="I89" s="3" t="s">
        <v>0</v>
      </c>
      <c r="J89" s="7" t="s">
        <v>0</v>
      </c>
      <c r="K89" s="3" t="s">
        <v>0</v>
      </c>
      <c r="L89" s="7" t="s">
        <v>0</v>
      </c>
      <c r="M89" s="7" t="s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3176-DAD5-4DB3-AEAD-C4F9BF6A126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Field Def</vt:lpstr>
      <vt:lpstr>Recon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Coutinho Lancioni</dc:creator>
  <cp:lastModifiedBy>David Coutinho Lancioni</cp:lastModifiedBy>
  <dcterms:created xsi:type="dcterms:W3CDTF">2024-01-04T17:44:30Z</dcterms:created>
  <dcterms:modified xsi:type="dcterms:W3CDTF">2024-01-09T19:07:32Z</dcterms:modified>
</cp:coreProperties>
</file>